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omas.pankulic\Desktop\Projekty a Requesty\Projekty\P230039_MAN-Aalborg\Change order pricing\"/>
    </mc:Choice>
  </mc:AlternateContent>
  <xr:revisionPtr revIDLastSave="0" documentId="13_ncr:1_{79928305-8F14-4005-9C37-D76008529B57}" xr6:coauthVersionLast="47" xr6:coauthVersionMax="47" xr10:uidLastSave="{00000000-0000-0000-0000-000000000000}"/>
  <bookViews>
    <workbookView xWindow="-120" yWindow="-120" windowWidth="29040" windowHeight="15840" xr2:uid="{798FE861-52DB-4CA1-930D-16EE1B944C7C}"/>
  </bookViews>
  <sheets>
    <sheet name="List1" sheetId="1" r:id="rId1"/>
  </sheets>
  <definedNames>
    <definedName name="_xlnm._FilterDatabase" localSheetId="0" hidden="1">List1!$A$4:$AC$28</definedName>
    <definedName name="Statu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D27" i="1" s="1"/>
  <c r="C26" i="1"/>
  <c r="D26" i="1" s="1"/>
  <c r="C25" i="1"/>
  <c r="D25" i="1" s="1"/>
  <c r="C24" i="1"/>
  <c r="D24" i="1" s="1"/>
  <c r="S24" i="1"/>
  <c r="S25" i="1"/>
  <c r="C23" i="1"/>
  <c r="D23" i="1" s="1"/>
  <c r="D22" i="1"/>
  <c r="C21" i="1"/>
  <c r="D21" i="1" s="1"/>
  <c r="C20" i="1"/>
  <c r="D20" i="1" s="1"/>
  <c r="S22" i="1"/>
  <c r="D19" i="1"/>
  <c r="C18" i="1"/>
  <c r="D18" i="1" s="1"/>
  <c r="C17" i="1"/>
  <c r="D17" i="1" s="1"/>
  <c r="C16" i="1"/>
  <c r="D16" i="1" s="1"/>
  <c r="C15" i="1"/>
  <c r="D15" i="1" s="1"/>
  <c r="C14" i="1"/>
  <c r="D14" i="1" s="1"/>
  <c r="C13" i="1"/>
  <c r="D13" i="1" s="1"/>
  <c r="S13" i="1"/>
  <c r="S19" i="1"/>
  <c r="C12" i="1"/>
  <c r="D12" i="1" s="1"/>
  <c r="S12" i="1"/>
  <c r="C9" i="1"/>
  <c r="D9" i="1" s="1"/>
  <c r="C10" i="1"/>
  <c r="C11" i="1"/>
  <c r="D11" i="1" s="1"/>
  <c r="S26" i="1" l="1"/>
  <c r="S23" i="1"/>
  <c r="S14" i="1"/>
  <c r="S27" i="1"/>
  <c r="S18" i="1"/>
  <c r="S17" i="1"/>
  <c r="S16" i="1"/>
  <c r="S15" i="1"/>
  <c r="S21" i="1"/>
  <c r="S20" i="1"/>
  <c r="D10" i="1"/>
  <c r="C8" i="1" l="1"/>
  <c r="D8" i="1" s="1"/>
  <c r="S8" i="1" l="1"/>
  <c r="S9" i="1"/>
  <c r="S10" i="1"/>
  <c r="S11" i="1"/>
  <c r="C7" i="1"/>
  <c r="D7" i="1" s="1"/>
  <c r="C6" i="1"/>
  <c r="D6" i="1" s="1"/>
  <c r="S28" i="1"/>
  <c r="S7" i="1" l="1"/>
  <c r="S6" i="1"/>
  <c r="C5" i="1"/>
  <c r="D5" i="1" l="1"/>
  <c r="S5" i="1"/>
  <c r="D28" i="1" l="1"/>
  <c r="S29" i="1" l="1"/>
</calcChain>
</file>

<file path=xl/sharedStrings.xml><?xml version="1.0" encoding="utf-8"?>
<sst xmlns="http://schemas.openxmlformats.org/spreadsheetml/2006/main" count="349" uniqueCount="156">
  <si>
    <t>Project Name:</t>
  </si>
  <si>
    <t xml:space="preserve">HPU Aalborg 2023 </t>
  </si>
  <si>
    <t>HPU Aalborg CO2 Heat pump</t>
  </si>
  <si>
    <t>Prepared by:</t>
  </si>
  <si>
    <t>T.Chankov</t>
  </si>
  <si>
    <t>Client:</t>
  </si>
  <si>
    <t>Date:</t>
  </si>
  <si>
    <t>ACS/MAN Project No:</t>
  </si>
  <si>
    <t>P230039 / H.7500062</t>
  </si>
  <si>
    <t>Revision:</t>
  </si>
  <si>
    <t>Item No.</t>
  </si>
  <si>
    <t>Design Qty</t>
  </si>
  <si>
    <t>Order Qty</t>
  </si>
  <si>
    <t>Spare Qty</t>
  </si>
  <si>
    <t>Unit</t>
  </si>
  <si>
    <t xml:space="preserve">Packaging </t>
  </si>
  <si>
    <t>Packaging Qty</t>
  </si>
  <si>
    <t>Ordered Qty</t>
  </si>
  <si>
    <t>SAP number</t>
  </si>
  <si>
    <t>Description (EN)</t>
  </si>
  <si>
    <t>Description (DE)</t>
  </si>
  <si>
    <t>Dimension [mm]</t>
  </si>
  <si>
    <t>Material</t>
  </si>
  <si>
    <t>Weight [kg]</t>
  </si>
  <si>
    <t>Clear description of content of a set and type designation</t>
  </si>
  <si>
    <t>Price/pcs</t>
  </si>
  <si>
    <t>Total Price</t>
  </si>
  <si>
    <t>Country of origin</t>
  </si>
  <si>
    <t>HS Code</t>
  </si>
  <si>
    <t>Pos./TAG-No</t>
  </si>
  <si>
    <t>Drawing No.</t>
  </si>
  <si>
    <t>Shipping list</t>
  </si>
  <si>
    <t>Revision number</t>
  </si>
  <si>
    <t>Client Barcode</t>
  </si>
  <si>
    <t xml:space="preserve">Original Equipment Manufacturer </t>
  </si>
  <si>
    <t>Manufacturer Part No.</t>
  </si>
  <si>
    <t>ACS barcode</t>
  </si>
  <si>
    <t>pcs</t>
  </si>
  <si>
    <t>Unit2</t>
  </si>
  <si>
    <t>Unit3</t>
  </si>
  <si>
    <t>Everllence</t>
  </si>
  <si>
    <t>ACS</t>
  </si>
  <si>
    <t>Site delivery</t>
  </si>
  <si>
    <t>TOTAL:</t>
  </si>
  <si>
    <t>00</t>
  </si>
  <si>
    <t>Remarks</t>
  </si>
  <si>
    <t>m</t>
  </si>
  <si>
    <t>Seamless bright annealed stainless steel tubing 1/2"</t>
  </si>
  <si>
    <t>Body: Stainless steel</t>
  </si>
  <si>
    <t>1/2" OD impulse line tube</t>
  </si>
  <si>
    <t>box</t>
  </si>
  <si>
    <t>Swagelok</t>
  </si>
  <si>
    <t>TED_10004098328_001
TED_10004084449_001</t>
  </si>
  <si>
    <t>Killich s.r.o.</t>
  </si>
  <si>
    <t>Walraven</t>
  </si>
  <si>
    <t>Stainless Steel Slide Nut</t>
  </si>
  <si>
    <t>SS-T8-S-049-6ME-S</t>
  </si>
  <si>
    <t>Change order - Impulse line materials</t>
  </si>
  <si>
    <t>Package</t>
  </si>
  <si>
    <t>C-Profile Type 2996Z - 2996Z/3 FL</t>
  </si>
  <si>
    <t>41/41/3000</t>
  </si>
  <si>
    <t>HDG</t>
  </si>
  <si>
    <t>C-profile, slot width 22 mm, 41x41x3000 mm, perforated, steel, hot dip galvanised DIN EN ISO 1461, interlocked</t>
  </si>
  <si>
    <t>Niedax</t>
  </si>
  <si>
    <t>4013339960675</t>
  </si>
  <si>
    <t>Box/Package</t>
  </si>
  <si>
    <t>packs</t>
  </si>
  <si>
    <t>Bolted Plastic Clamp Support Kit</t>
  </si>
  <si>
    <t xml:space="preserve">Body: Polypropylene </t>
  </si>
  <si>
    <t>Twin Bolted Plastic Clamp Tube Support Kit</t>
  </si>
  <si>
    <t>304-S3T-PP-8T</t>
  </si>
  <si>
    <t>Protective Cap - SKC 88/96</t>
  </si>
  <si>
    <t>45.4/45.5/27.5</t>
  </si>
  <si>
    <t>Plastic</t>
  </si>
  <si>
    <t>Protective cap, to protect the profile ends for C-profile 2988, 2996Z, plastics, polyethylene, colour yellow, RAL 1021</t>
  </si>
  <si>
    <t>4013339926800</t>
  </si>
  <si>
    <t>Clamping claw -  SPPGM 30 F</t>
  </si>
  <si>
    <t>73/67/48</t>
  </si>
  <si>
    <t>Clamping claw with screw and sliding nut, steel, hot dip galvanised DIN EN ISO 1461, incl. accessories</t>
  </si>
  <si>
    <t>4013339930944</t>
  </si>
  <si>
    <t>M8x50 DIN 933 ISO 4017 A4</t>
  </si>
  <si>
    <t>Hexagon bolt M8x50 DIN 933 ISO 4017 A4</t>
  </si>
  <si>
    <t>U-profile, 60x40x3000 mm, perforated, steel, hot dip galvanised DIN EN ISO 1461</t>
  </si>
  <si>
    <t>Profile U 6040 - U 6040/3000 F</t>
  </si>
  <si>
    <t>4013339891740</t>
  </si>
  <si>
    <t>Hexagon Head Screw M10  -  SK 10X35 F</t>
  </si>
  <si>
    <t>18.90/18.90/41.40</t>
  </si>
  <si>
    <t>0.029</t>
  </si>
  <si>
    <t>Hexagon head screw M10, acc. to DIN EN ISO 4017, length 35 mm, steel, hot dip galvanised DIN EN ISO 1461/10684</t>
  </si>
  <si>
    <t>4013339128402</t>
  </si>
  <si>
    <t>Body Washer M10 -  UGM 10 F</t>
  </si>
  <si>
    <t>Hexagon Nut M10 -  SM 10</t>
  </si>
  <si>
    <t>2.50/30/30</t>
  </si>
  <si>
    <t>0.014</t>
  </si>
  <si>
    <t>Body washer aac. to DIN EN ISO 7093-1, outside-Ø 30 mm, steel, hot dip galvanised DIN EN ISO 1461</t>
  </si>
  <si>
    <t>8/18.72/18.72</t>
  </si>
  <si>
    <t>0.012</t>
  </si>
  <si>
    <t>Hexagon nut M10 acc. to DIN EN ISO 4032, steel, electro galvanised according to DIN EN ISO 2081/4042, blue pass</t>
  </si>
  <si>
    <t>4013339071661</t>
  </si>
  <si>
    <t>4013339129706</t>
  </si>
  <si>
    <t>Hexagon Head Screw M8 -  SK 8X25 F</t>
  </si>
  <si>
    <t>14.38/14.38/30.30</t>
  </si>
  <si>
    <t>Hexagon head screw M8, acc. to DIN EN ISO 4017, length 25 mm, steel, hot dip galvanised DIN EN ISO 1461/10684</t>
  </si>
  <si>
    <t>Body Washer M8 -  UGM 8 F</t>
  </si>
  <si>
    <t>2/24/24</t>
  </si>
  <si>
    <t>0.008</t>
  </si>
  <si>
    <t>Body washer aac. to DIN EN ISO 7093-1, outside-Ø 24 mm, steel, hot dip galvanised DIN EN ISO 1461</t>
  </si>
  <si>
    <t>4013339209057</t>
  </si>
  <si>
    <t>4013339194759</t>
  </si>
  <si>
    <t>Hexagon Nut M8 -  SM 8</t>
  </si>
  <si>
    <t>Hexagon nut M8 acc. to DIN EN ISO 4032, steel, electro galvanised according to DIN EN ISO 2081/4042, blue pass</t>
  </si>
  <si>
    <t>6/13/13</t>
  </si>
  <si>
    <t>TOXFREE® RZ1-K green/yellow 1G6 0.6/1 kV</t>
  </si>
  <si>
    <t>Copper, halogen free</t>
  </si>
  <si>
    <r>
      <t>Semi rigid insulated yellow green stranded copper cable with cross section 6 mm</t>
    </r>
    <r>
      <rPr>
        <vertAlign val="superscript"/>
        <sz val="10"/>
        <rFont val="Arial"/>
        <family val="2"/>
        <charset val="204"/>
      </rPr>
      <t>2</t>
    </r>
  </si>
  <si>
    <t>57044030378xx</t>
  </si>
  <si>
    <t>SCANKAB</t>
  </si>
  <si>
    <t>6 X 10</t>
  </si>
  <si>
    <t>Cable lug - 6 mm²/M10</t>
  </si>
  <si>
    <t>GPH</t>
  </si>
  <si>
    <t>Cable lug - 6 mm²/M5</t>
  </si>
  <si>
    <t>6 X 5</t>
  </si>
  <si>
    <t>Copper, tin-plated</t>
  </si>
  <si>
    <t>101R5</t>
  </si>
  <si>
    <t>Klauke</t>
  </si>
  <si>
    <t>TOXFREE® RZ1-K green/yellow 1G35 0.6/1 kV</t>
  </si>
  <si>
    <r>
      <t>Semi rigid insulated yellow green stranded copper cable with cross section 35 mm</t>
    </r>
    <r>
      <rPr>
        <vertAlign val="superscript"/>
        <sz val="10"/>
        <rFont val="Arial"/>
        <family val="2"/>
        <charset val="204"/>
      </rPr>
      <t>2</t>
    </r>
  </si>
  <si>
    <t>Cable lug - 35 mm²/M10</t>
  </si>
  <si>
    <t>35 X 10</t>
  </si>
  <si>
    <t>5704403025138</t>
  </si>
  <si>
    <t>105R10</t>
  </si>
  <si>
    <t>Wall connection angle -  WWA 100</t>
  </si>
  <si>
    <t>98/40/50</t>
  </si>
  <si>
    <t>0.250</t>
  </si>
  <si>
    <t>Wall connection angle, asymmetrical, floor, ceiling, wall mounting, steel, hot dip galvanised DIN EN ISO 1461, incl. accessories</t>
  </si>
  <si>
    <t>Angle connector -  TRV 40</t>
  </si>
  <si>
    <t>Connection angle -  AWG 110/140</t>
  </si>
  <si>
    <t>100/46/100</t>
  </si>
  <si>
    <t>0.411</t>
  </si>
  <si>
    <t>Angle connector for profile U 5050, U 6040, steel, hot dip galvanised DIN EN ISO 1461</t>
  </si>
  <si>
    <t>47/110/140</t>
  </si>
  <si>
    <t>0.588</t>
  </si>
  <si>
    <t>Connection angle, vertical adjustable, steel, hot dip galvanised DIN EN ISO 1461, incl. accessories</t>
  </si>
  <si>
    <t>4013339891795</t>
  </si>
  <si>
    <t>4013339891801</t>
  </si>
  <si>
    <t>40/60/3000</t>
  </si>
  <si>
    <t>Screw head plate -  KU 6040</t>
  </si>
  <si>
    <t>80/200/106</t>
  </si>
  <si>
    <t>Screw head plate for profile U 6040, steel, hot dip galvanised DIN EN ISO 1461, incl. accessories</t>
  </si>
  <si>
    <t>4013339891771</t>
  </si>
  <si>
    <t>2 weeks</t>
  </si>
  <si>
    <t>2 weeks (114m on stock + 1 x 6m piece on the stock)</t>
  </si>
  <si>
    <t>2 weks</t>
  </si>
  <si>
    <t>3 weeks (It can be replaced with a standard M8 nut, which we have in stock.)</t>
  </si>
  <si>
    <t>3 - 4 weeks</t>
  </si>
  <si>
    <t>3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</si>
</sst>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\ [$€-1]"/>
  </numFmts>
  <fonts count="14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04"/>
      <scheme val="minor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  <charset val="204"/>
    </font>
    <font>
      <sz val="12"/>
      <color theme="1"/>
      <name val="Calibri"/>
      <family val="2"/>
      <charset val="238"/>
      <scheme val="minor"/>
    </font>
    <font>
      <b/>
      <sz val="20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0"/>
      <color theme="1"/>
      <name val="Arial"/>
      <family val="2"/>
    </font>
    <font>
      <sz val="11"/>
      <color rgb="FF1E1E1E"/>
      <name val="Segoe UI"/>
      <family val="2"/>
    </font>
    <font>
      <b/>
      <sz val="26"/>
      <color theme="1"/>
      <name val="Calibri"/>
      <family val="2"/>
      <charset val="238"/>
      <scheme val="minor"/>
    </font>
    <font>
      <sz val="12"/>
      <name val="Calibri"/>
      <family val="2"/>
      <scheme val="minor"/>
    </font>
    <font>
      <sz val="9"/>
      <name val="Arial"/>
      <family val="2"/>
      <charset val="204"/>
    </font>
    <font>
      <vertAlign val="superscript"/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0" borderId="0" applyBorder="0"/>
    <xf numFmtId="0" fontId="3" fillId="0" borderId="0" applyBorder="0"/>
  </cellStyleXfs>
  <cellXfs count="26">
    <xf numFmtId="0" fontId="0" fillId="0" borderId="0" xfId="0"/>
    <xf numFmtId="0" fontId="0" fillId="2" borderId="0" xfId="0" applyFill="1"/>
    <xf numFmtId="0" fontId="1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4" fontId="0" fillId="0" borderId="1" xfId="0" applyNumberForma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1" fontId="12" fillId="0" borderId="1" xfId="0" applyNumberFormat="1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65" fontId="8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1" fontId="1" fillId="0" borderId="0" xfId="0" applyNumberFormat="1" applyFont="1" applyAlignment="1">
      <alignment horizontal="center"/>
    </xf>
    <xf numFmtId="0" fontId="0" fillId="0" borderId="0" xfId="0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49" fontId="0" fillId="0" borderId="0" xfId="0" applyNumberFormat="1"/>
    <xf numFmtId="49" fontId="8" fillId="0" borderId="1" xfId="0" applyNumberFormat="1" applyFont="1" applyBorder="1" applyAlignment="1">
      <alignment horizontal="right" vertical="center" wrapText="1"/>
    </xf>
    <xf numFmtId="0" fontId="9" fillId="0" borderId="1" xfId="0" applyFont="1" applyBorder="1" applyAlignment="1">
      <alignment horizontal="right" vertical="center"/>
    </xf>
    <xf numFmtId="49" fontId="3" fillId="0" borderId="1" xfId="0" applyNumberFormat="1" applyFont="1" applyBorder="1" applyAlignment="1">
      <alignment horizontal="left" vertical="center" wrapText="1"/>
    </xf>
    <xf numFmtId="165" fontId="8" fillId="0" borderId="2" xfId="0" applyNumberFormat="1" applyFont="1" applyBorder="1" applyAlignment="1">
      <alignment horizontal="left" vertical="center" wrapText="1"/>
    </xf>
    <xf numFmtId="165" fontId="8" fillId="3" borderId="3" xfId="0" applyNumberFormat="1" applyFont="1" applyFill="1" applyBorder="1" applyAlignment="1">
      <alignment horizontal="left" vertical="center" wrapText="1"/>
    </xf>
    <xf numFmtId="165" fontId="8" fillId="3" borderId="4" xfId="0" applyNumberFormat="1" applyFont="1" applyFill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</cellXfs>
  <cellStyles count="3">
    <cellStyle name="Normal 2" xfId="1" xr:uid="{84A7516D-5888-44E0-A4A8-B5FD4D694EBB}"/>
    <cellStyle name="Normal 3" xfId="2" xr:uid="{B9790FDE-C1B7-4CAC-91E0-B7024F03F43B}"/>
    <cellStyle name="Normální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0"/>
        <color auto="1"/>
        <name val="Arial"/>
        <family val="2"/>
        <scheme val="none"/>
      </font>
      <numFmt numFmtId="30" formatCode="@"/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0"/>
        <color auto="1"/>
        <name val="Arial"/>
        <family val="2"/>
        <scheme val="none"/>
      </font>
      <numFmt numFmtId="30" formatCode="@"/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0"/>
        <color auto="1"/>
        <name val="Arial"/>
        <family val="2"/>
        <scheme val="none"/>
      </font>
      <numFmt numFmtId="30" formatCode="@"/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0"/>
        <color auto="1"/>
        <name val="Arial"/>
        <family val="2"/>
        <scheme val="none"/>
      </font>
      <numFmt numFmtId="30" formatCode="@"/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0"/>
        <color auto="1"/>
        <name val="Arial"/>
        <family val="2"/>
        <scheme val="none"/>
      </font>
      <numFmt numFmtId="30" formatCode="@"/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0"/>
        <color auto="1"/>
        <name val="Arial"/>
        <family val="2"/>
        <scheme val="none"/>
      </font>
      <numFmt numFmtId="30" formatCode="@"/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0"/>
        <color auto="1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00"/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0"/>
        <color auto="1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0"/>
        <color auto="1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0"/>
        <color auto="1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0\ [$€-1]"/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0"/>
        <name val="Arial"/>
        <family val="2"/>
        <scheme val="none"/>
      </font>
      <numFmt numFmtId="165" formatCode="#,##0.00\ [$€-1]"/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0"/>
        <color auto="1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0"/>
        <color auto="1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0"/>
        <color auto="1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0"/>
        <color auto="1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0"/>
        <color auto="1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0"/>
        <color auto="1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0"/>
        <color auto="1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06A924-68BF-4C77-8523-4E412BF2D0B7}" name="MTO" displayName="MTO" ref="A4:AD28" totalsRowShown="0" headerRowDxfId="33" tableBorderDxfId="32">
  <autoFilter ref="A4:AD28" xr:uid="{B306A924-68BF-4C77-8523-4E412BF2D0B7}"/>
  <tableColumns count="30">
    <tableColumn id="1" xr3:uid="{EF589017-1B87-411C-A76F-C1D4B985F41B}" name="Item No." dataDxfId="31"/>
    <tableColumn id="2" xr3:uid="{C4B4BD7A-75C0-4864-8A5F-90A037772EE6}" name="Design Qty" dataDxfId="30"/>
    <tableColumn id="3" xr3:uid="{744B3B06-F6CC-45EF-9DF1-1C46B19B1345}" name="Order Qty" dataDxfId="29"/>
    <tableColumn id="4" xr3:uid="{B7D8E65C-BE9D-46DE-8141-2E6EDC0FBDBD}" name="Spare Qty" dataDxfId="28">
      <calculatedColumnFormula>C5-B5</calculatedColumnFormula>
    </tableColumn>
    <tableColumn id="5" xr3:uid="{778EE461-3E0F-4E1B-8DCA-304DF474B1B0}" name="Unit" dataDxfId="27"/>
    <tableColumn id="6" xr3:uid="{34CCF8F9-57CF-4AC1-B28D-E8B9B2F9FD8D}" name="Packaging " dataDxfId="26"/>
    <tableColumn id="7" xr3:uid="{62C47B78-A59F-4B7A-A1EA-B63CA5B6CBFA}" name="Packaging Qty" dataDxfId="25"/>
    <tableColumn id="8" xr3:uid="{5750420E-38E4-4882-BF88-2087878EB09C}" name="Unit2" dataDxfId="24"/>
    <tableColumn id="9" xr3:uid="{89A70984-0A5C-4929-ADF6-87152FD1A1D6}" name="Ordered Qty" dataDxfId="23" dataCellStyle="Normal 2"/>
    <tableColumn id="10" xr3:uid="{715DE467-BFF7-47C2-8529-49DAE965DBE4}" name="Unit3" dataDxfId="22"/>
    <tableColumn id="11" xr3:uid="{9DFE0E37-2B0B-4A12-8847-97F61E23271E}" name="SAP number" dataDxfId="21"/>
    <tableColumn id="12" xr3:uid="{24834DFD-664F-4966-99EC-E6D52FEDFA71}" name="Description (EN)" dataDxfId="20"/>
    <tableColumn id="13" xr3:uid="{CE46E500-4DA9-4CB6-88FC-C4593644BFA9}" name="Description (DE)" dataDxfId="19"/>
    <tableColumn id="14" xr3:uid="{C4E4B7E2-1004-4D31-8758-9D2CF8BCEA08}" name="Dimension [mm]" dataDxfId="18"/>
    <tableColumn id="15" xr3:uid="{024F0798-A43D-40F7-9657-0BD3CA636811}" name="Material" dataDxfId="17"/>
    <tableColumn id="16" xr3:uid="{9405C280-788B-449D-A535-F62F20D3F5AF}" name="Weight [kg]" dataDxfId="16"/>
    <tableColumn id="17" xr3:uid="{2F2D443F-252C-4877-B9FE-BC81472EE5CE}" name="Clear description of content of a set and type designation" dataDxfId="15"/>
    <tableColumn id="18" xr3:uid="{99A0C9D5-C153-4DD5-9CE4-8D2415533586}" name="Price/pcs" dataDxfId="14"/>
    <tableColumn id="19" xr3:uid="{7BC47135-E13C-474C-95E2-EEBADD3464FB}" name="Total Price" dataDxfId="13">
      <calculatedColumnFormula>MTO[[#This Row],[Price/pcs]]*MTO[[#This Row],[Order Qty]]</calculatedColumnFormula>
    </tableColumn>
    <tableColumn id="20" xr3:uid="{BBBD553F-F27F-4801-B8AE-0512DA1F208D}" name="Country of origin" dataDxfId="12"/>
    <tableColumn id="21" xr3:uid="{1E102BF5-9FFF-4A62-9423-E693E23971BB}" name="HS Code" dataDxfId="11"/>
    <tableColumn id="22" xr3:uid="{027F2BDD-508A-489F-8DD8-436937F24A5D}" name="Pos./TAG-No" dataDxfId="10"/>
    <tableColumn id="23" xr3:uid="{80205157-5BB2-42BC-862B-2286E63EEE9D}" name="Drawing No." dataDxfId="9"/>
    <tableColumn id="24" xr3:uid="{AB8B0244-EF52-4157-A327-2EF1D87CFDC8}" name="Shipping list" dataDxfId="8"/>
    <tableColumn id="25" xr3:uid="{A4D28A20-7598-452F-9F3E-A9B0AD790CFA}" name="Revision number" dataDxfId="7"/>
    <tableColumn id="26" xr3:uid="{09506921-6E08-49F0-8A0A-3B8D1042CFEC}" name="Client Barcode" dataDxfId="6"/>
    <tableColumn id="27" xr3:uid="{6B07AF3D-372C-4D3B-8454-DB5A9CB9DBC8}" name="Original Equipment Manufacturer " dataDxfId="5"/>
    <tableColumn id="28" xr3:uid="{16A102A9-CEFF-4FCC-977F-6EB7A18925BD}" name="Manufacturer Part No." dataDxfId="4"/>
    <tableColumn id="29" xr3:uid="{D9069B4F-B5AD-4AED-AA0A-AB467E494DBF}" name="ACS barcode" dataDxfId="3"/>
    <tableColumn id="30" xr3:uid="{C6AA08C9-7C84-48F1-B5BE-4473FA073AF4}" name="Remarks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D3FC0-2010-4F98-9F3D-B5EF9A39CA19}">
  <sheetPr codeName="Sheet1">
    <pageSetUpPr fitToPage="1"/>
  </sheetPr>
  <dimension ref="A1:AD29"/>
  <sheetViews>
    <sheetView tabSelected="1" topLeftCell="L1" zoomScale="70" zoomScaleNormal="70" zoomScaleSheetLayoutView="90" workbookViewId="0">
      <pane ySplit="4" topLeftCell="A5" activePane="bottomLeft" state="frozen"/>
      <selection pane="bottomLeft" activeCell="AD23" sqref="AD23"/>
    </sheetView>
  </sheetViews>
  <sheetFormatPr defaultRowHeight="15" x14ac:dyDescent="0.25"/>
  <cols>
    <col min="1" max="1" width="20.5703125" bestFit="1" customWidth="1"/>
    <col min="2" max="2" width="13" style="11" bestFit="1" customWidth="1"/>
    <col min="3" max="3" width="12.140625" style="11" bestFit="1" customWidth="1"/>
    <col min="4" max="4" width="12.42578125" style="11" bestFit="1" customWidth="1"/>
    <col min="5" max="5" width="7.85546875" style="11" bestFit="1" customWidth="1"/>
    <col min="6" max="6" width="13" style="11" bestFit="1" customWidth="1"/>
    <col min="7" max="7" width="16" style="11" bestFit="1" customWidth="1"/>
    <col min="8" max="8" width="8.7109375" style="11" bestFit="1" customWidth="1"/>
    <col min="9" max="9" width="14.140625" style="11" bestFit="1" customWidth="1"/>
    <col min="10" max="10" width="8.7109375" style="11" bestFit="1" customWidth="1"/>
    <col min="11" max="11" width="17.5703125" style="12" customWidth="1"/>
    <col min="12" max="12" width="48.5703125" bestFit="1" customWidth="1"/>
    <col min="13" max="13" width="17" hidden="1" customWidth="1"/>
    <col min="14" max="14" width="28.85546875" customWidth="1"/>
    <col min="15" max="15" width="19.85546875" style="13" customWidth="1"/>
    <col min="16" max="16" width="13.5703125" bestFit="1" customWidth="1"/>
    <col min="17" max="17" width="55.7109375" customWidth="1"/>
    <col min="18" max="18" width="11.85546875" bestFit="1" customWidth="1"/>
    <col min="19" max="19" width="13.140625" bestFit="1" customWidth="1"/>
    <col min="20" max="20" width="12.7109375" customWidth="1"/>
    <col min="21" max="21" width="11.42578125" hidden="1" customWidth="1"/>
    <col min="22" max="22" width="15" customWidth="1"/>
    <col min="23" max="23" width="22.140625" customWidth="1"/>
    <col min="24" max="24" width="12" customWidth="1"/>
    <col min="25" max="25" width="12.5703125" customWidth="1"/>
    <col min="26" max="26" width="11.140625" bestFit="1" customWidth="1"/>
    <col min="27" max="27" width="15.28515625" customWidth="1"/>
    <col min="28" max="28" width="22.28515625" style="15" customWidth="1"/>
    <col min="29" max="29" width="13.85546875" bestFit="1" customWidth="1"/>
    <col min="30" max="30" width="47.85546875" customWidth="1"/>
  </cols>
  <sheetData>
    <row r="1" spans="1:30" ht="33.75" x14ac:dyDescent="0.25">
      <c r="A1" s="2" t="s">
        <v>0</v>
      </c>
      <c r="B1" s="23" t="s">
        <v>1</v>
      </c>
      <c r="C1" s="23"/>
      <c r="D1" s="23"/>
      <c r="E1" s="23"/>
      <c r="F1" s="3"/>
      <c r="G1" s="3"/>
      <c r="H1" s="3"/>
      <c r="I1" s="3"/>
      <c r="J1" s="3"/>
      <c r="K1" s="24" t="s">
        <v>2</v>
      </c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14" t="s">
        <v>3</v>
      </c>
      <c r="AD1" s="17" t="s">
        <v>4</v>
      </c>
    </row>
    <row r="2" spans="1:30" ht="15.75" customHeight="1" x14ac:dyDescent="0.25">
      <c r="A2" s="3" t="s">
        <v>5</v>
      </c>
      <c r="B2" s="23" t="s">
        <v>40</v>
      </c>
      <c r="C2" s="23"/>
      <c r="D2" s="23"/>
      <c r="E2" s="23"/>
      <c r="F2" s="3"/>
      <c r="G2" s="3"/>
      <c r="H2" s="3"/>
      <c r="I2" s="3"/>
      <c r="J2" s="3"/>
      <c r="K2" s="25" t="s">
        <v>57</v>
      </c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14" t="s">
        <v>6</v>
      </c>
      <c r="AD2" s="4">
        <v>46230</v>
      </c>
    </row>
    <row r="3" spans="1:30" ht="15.75" customHeight="1" x14ac:dyDescent="0.25">
      <c r="A3" s="2" t="s">
        <v>7</v>
      </c>
      <c r="B3" s="23" t="s">
        <v>8</v>
      </c>
      <c r="C3" s="23"/>
      <c r="D3" s="23"/>
      <c r="E3" s="23"/>
      <c r="F3" s="3"/>
      <c r="G3" s="3"/>
      <c r="H3" s="3"/>
      <c r="I3" s="3"/>
      <c r="J3" s="3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14" t="s">
        <v>9</v>
      </c>
      <c r="AD3" s="16" t="s">
        <v>44</v>
      </c>
    </row>
    <row r="4" spans="1:30" s="1" customFormat="1" ht="36" x14ac:dyDescent="0.25">
      <c r="A4" s="5" t="s">
        <v>10</v>
      </c>
      <c r="B4" s="5" t="s">
        <v>11</v>
      </c>
      <c r="C4" s="5" t="s">
        <v>12</v>
      </c>
      <c r="D4" s="5" t="s">
        <v>13</v>
      </c>
      <c r="E4" s="6" t="s">
        <v>14</v>
      </c>
      <c r="F4" s="6" t="s">
        <v>15</v>
      </c>
      <c r="G4" s="6" t="s">
        <v>16</v>
      </c>
      <c r="H4" s="6" t="s">
        <v>38</v>
      </c>
      <c r="I4" s="6" t="s">
        <v>17</v>
      </c>
      <c r="J4" s="6" t="s">
        <v>39</v>
      </c>
      <c r="K4" s="7" t="s">
        <v>18</v>
      </c>
      <c r="L4" s="6" t="s">
        <v>19</v>
      </c>
      <c r="M4" s="6" t="s">
        <v>20</v>
      </c>
      <c r="N4" s="6" t="s">
        <v>21</v>
      </c>
      <c r="O4" s="6" t="s">
        <v>22</v>
      </c>
      <c r="P4" s="6" t="s">
        <v>23</v>
      </c>
      <c r="Q4" s="6" t="s">
        <v>24</v>
      </c>
      <c r="R4" s="5" t="s">
        <v>25</v>
      </c>
      <c r="S4" s="5" t="s">
        <v>26</v>
      </c>
      <c r="T4" s="5" t="s">
        <v>27</v>
      </c>
      <c r="U4" s="5" t="s">
        <v>28</v>
      </c>
      <c r="V4" s="5" t="s">
        <v>29</v>
      </c>
      <c r="W4" s="5" t="s">
        <v>30</v>
      </c>
      <c r="X4" s="8" t="s">
        <v>31</v>
      </c>
      <c r="Y4" s="8" t="s">
        <v>32</v>
      </c>
      <c r="Z4" s="8" t="s">
        <v>33</v>
      </c>
      <c r="AA4" s="8" t="s">
        <v>34</v>
      </c>
      <c r="AB4" s="6" t="s">
        <v>35</v>
      </c>
      <c r="AC4" s="6" t="s">
        <v>36</v>
      </c>
      <c r="AD4" s="6" t="s">
        <v>45</v>
      </c>
    </row>
    <row r="5" spans="1:30" ht="25.5" x14ac:dyDescent="0.25">
      <c r="A5" s="9">
        <v>1</v>
      </c>
      <c r="B5" s="9">
        <v>132</v>
      </c>
      <c r="C5" s="9">
        <f t="shared" ref="C5" si="0">G5*I5</f>
        <v>144</v>
      </c>
      <c r="D5" s="9">
        <f t="shared" ref="D5" si="1">C5-B5</f>
        <v>12</v>
      </c>
      <c r="E5" s="9" t="s">
        <v>46</v>
      </c>
      <c r="F5" s="9" t="s">
        <v>46</v>
      </c>
      <c r="G5" s="9">
        <v>6</v>
      </c>
      <c r="H5" s="9" t="s">
        <v>46</v>
      </c>
      <c r="I5" s="9">
        <v>24</v>
      </c>
      <c r="J5" s="9" t="s">
        <v>37</v>
      </c>
      <c r="K5" s="9"/>
      <c r="L5" s="9" t="s">
        <v>47</v>
      </c>
      <c r="M5" s="9"/>
      <c r="N5" s="9"/>
      <c r="O5" s="9" t="s">
        <v>48</v>
      </c>
      <c r="P5" s="9"/>
      <c r="Q5" s="9" t="s">
        <v>49</v>
      </c>
      <c r="R5" s="10">
        <v>14.47</v>
      </c>
      <c r="S5" s="10">
        <f>MTO[[#This Row],[Price/pcs]]*MTO[[#This Row],[Order Qty]]</f>
        <v>2083.6800000000003</v>
      </c>
      <c r="T5" s="9"/>
      <c r="U5" s="9"/>
      <c r="V5" s="9"/>
      <c r="W5" s="9" t="s">
        <v>52</v>
      </c>
      <c r="X5" s="9"/>
      <c r="Y5" s="9" t="s">
        <v>44</v>
      </c>
      <c r="Z5" s="9"/>
      <c r="AA5" s="9" t="s">
        <v>51</v>
      </c>
      <c r="AB5" s="9" t="s">
        <v>56</v>
      </c>
      <c r="AC5" s="9"/>
      <c r="AD5" s="9" t="s">
        <v>154</v>
      </c>
    </row>
    <row r="6" spans="1:30" ht="25.5" x14ac:dyDescent="0.25">
      <c r="A6" s="9">
        <v>2</v>
      </c>
      <c r="B6" s="9">
        <v>200</v>
      </c>
      <c r="C6" s="9">
        <f t="shared" ref="C6" si="2">G6*I6</f>
        <v>200</v>
      </c>
      <c r="D6" s="9">
        <f t="shared" ref="D6" si="3">C6-B6</f>
        <v>0</v>
      </c>
      <c r="E6" s="9" t="s">
        <v>37</v>
      </c>
      <c r="F6" s="9" t="s">
        <v>50</v>
      </c>
      <c r="G6" s="9">
        <v>50</v>
      </c>
      <c r="H6" s="9" t="s">
        <v>37</v>
      </c>
      <c r="I6" s="9">
        <v>4</v>
      </c>
      <c r="J6" s="9" t="s">
        <v>37</v>
      </c>
      <c r="K6" s="9"/>
      <c r="L6" s="9" t="s">
        <v>80</v>
      </c>
      <c r="M6" s="9"/>
      <c r="N6" s="9"/>
      <c r="O6" s="9" t="s">
        <v>48</v>
      </c>
      <c r="P6" s="9"/>
      <c r="Q6" s="9" t="s">
        <v>81</v>
      </c>
      <c r="R6" s="10">
        <v>0.17</v>
      </c>
      <c r="S6" s="10">
        <f>MTO[[#This Row],[Price/pcs]]*MTO[[#This Row],[Order Qty]]</f>
        <v>34</v>
      </c>
      <c r="T6" s="9"/>
      <c r="U6" s="9"/>
      <c r="V6" s="9"/>
      <c r="W6" s="9" t="s">
        <v>52</v>
      </c>
      <c r="X6" s="9"/>
      <c r="Y6" s="9" t="s">
        <v>44</v>
      </c>
      <c r="Z6" s="9"/>
      <c r="AA6" s="9" t="s">
        <v>53</v>
      </c>
      <c r="AB6" s="9">
        <v>11035908050</v>
      </c>
      <c r="AC6" s="9"/>
      <c r="AD6" s="9" t="s">
        <v>150</v>
      </c>
    </row>
    <row r="7" spans="1:30" ht="25.5" x14ac:dyDescent="0.25">
      <c r="A7" s="9">
        <v>3</v>
      </c>
      <c r="B7" s="9">
        <v>200</v>
      </c>
      <c r="C7" s="9">
        <f t="shared" ref="C7" si="4">G7*I7</f>
        <v>200</v>
      </c>
      <c r="D7" s="9">
        <f t="shared" ref="D7:D11" si="5">C7-B7</f>
        <v>0</v>
      </c>
      <c r="E7" s="9" t="s">
        <v>37</v>
      </c>
      <c r="F7" s="9" t="s">
        <v>50</v>
      </c>
      <c r="G7" s="9">
        <v>50</v>
      </c>
      <c r="H7" s="9" t="s">
        <v>37</v>
      </c>
      <c r="I7" s="9">
        <v>4</v>
      </c>
      <c r="J7" s="9" t="s">
        <v>37</v>
      </c>
      <c r="K7" s="9"/>
      <c r="L7" s="9" t="s">
        <v>55</v>
      </c>
      <c r="M7" s="9"/>
      <c r="N7" s="9"/>
      <c r="O7" s="9" t="s">
        <v>48</v>
      </c>
      <c r="P7" s="9"/>
      <c r="Q7" s="9" t="s">
        <v>55</v>
      </c>
      <c r="R7" s="10">
        <v>1.22</v>
      </c>
      <c r="S7" s="10">
        <f>MTO[[#This Row],[Price/pcs]]*MTO[[#This Row],[Order Qty]]</f>
        <v>244</v>
      </c>
      <c r="T7" s="9"/>
      <c r="U7" s="9"/>
      <c r="V7" s="9"/>
      <c r="W7" s="9" t="s">
        <v>52</v>
      </c>
      <c r="X7" s="9"/>
      <c r="Y7" s="9" t="s">
        <v>44</v>
      </c>
      <c r="Z7" s="9"/>
      <c r="AA7" s="9" t="s">
        <v>54</v>
      </c>
      <c r="AB7" s="9">
        <v>6511008</v>
      </c>
      <c r="AC7" s="9"/>
      <c r="AD7" s="9" t="s">
        <v>155</v>
      </c>
    </row>
    <row r="8" spans="1:30" ht="25.5" x14ac:dyDescent="0.25">
      <c r="A8" s="9">
        <v>4</v>
      </c>
      <c r="B8" s="9">
        <v>118</v>
      </c>
      <c r="C8" s="9">
        <f t="shared" ref="C8:C9" si="6">I8*G8</f>
        <v>120</v>
      </c>
      <c r="D8" s="9">
        <f t="shared" si="5"/>
        <v>2</v>
      </c>
      <c r="E8" s="9" t="s">
        <v>46</v>
      </c>
      <c r="F8" s="9" t="s">
        <v>58</v>
      </c>
      <c r="G8" s="9">
        <v>3</v>
      </c>
      <c r="H8" s="9" t="s">
        <v>46</v>
      </c>
      <c r="I8" s="9">
        <v>40</v>
      </c>
      <c r="J8" s="9" t="s">
        <v>37</v>
      </c>
      <c r="K8" s="9"/>
      <c r="L8" s="9" t="s">
        <v>59</v>
      </c>
      <c r="M8" s="9"/>
      <c r="N8" s="9" t="s">
        <v>60</v>
      </c>
      <c r="O8" s="9" t="s">
        <v>61</v>
      </c>
      <c r="P8" s="9">
        <v>2.6512899999999999</v>
      </c>
      <c r="Q8" s="9" t="s">
        <v>62</v>
      </c>
      <c r="R8" s="10">
        <v>9.39</v>
      </c>
      <c r="S8" s="10">
        <f>MTO[[#This Row],[Price/pcs]]*MTO[[#This Row],[Order Qty]]</f>
        <v>1126.8000000000002</v>
      </c>
      <c r="T8" s="9"/>
      <c r="U8" s="9"/>
      <c r="V8" s="9"/>
      <c r="W8" s="9" t="s">
        <v>52</v>
      </c>
      <c r="X8" s="9"/>
      <c r="Y8" s="9" t="s">
        <v>44</v>
      </c>
      <c r="Z8" s="9"/>
      <c r="AA8" s="9" t="s">
        <v>63</v>
      </c>
      <c r="AB8" s="9" t="s">
        <v>64</v>
      </c>
      <c r="AC8" s="9"/>
      <c r="AD8" s="9" t="s">
        <v>151</v>
      </c>
    </row>
    <row r="9" spans="1:30" ht="25.5" x14ac:dyDescent="0.25">
      <c r="A9" s="9">
        <v>5</v>
      </c>
      <c r="B9" s="9">
        <v>50</v>
      </c>
      <c r="C9" s="9">
        <f t="shared" si="6"/>
        <v>50</v>
      </c>
      <c r="D9" s="9">
        <f t="shared" si="5"/>
        <v>0</v>
      </c>
      <c r="E9" s="9" t="s">
        <v>37</v>
      </c>
      <c r="F9" s="9" t="s">
        <v>65</v>
      </c>
      <c r="G9" s="9">
        <v>10</v>
      </c>
      <c r="H9" s="9" t="s">
        <v>37</v>
      </c>
      <c r="I9" s="9">
        <v>5</v>
      </c>
      <c r="J9" s="9" t="s">
        <v>37</v>
      </c>
      <c r="K9" s="9"/>
      <c r="L9" s="9" t="s">
        <v>76</v>
      </c>
      <c r="M9" s="9"/>
      <c r="N9" s="9" t="s">
        <v>77</v>
      </c>
      <c r="O9" s="9" t="s">
        <v>61</v>
      </c>
      <c r="P9" s="9">
        <v>0.91700000000000004</v>
      </c>
      <c r="Q9" s="9" t="s">
        <v>78</v>
      </c>
      <c r="R9" s="10">
        <v>5.86</v>
      </c>
      <c r="S9" s="10">
        <f>MTO[[#This Row],[Price/pcs]]*MTO[[#This Row],[Order Qty]]</f>
        <v>293</v>
      </c>
      <c r="T9" s="9"/>
      <c r="U9" s="9"/>
      <c r="V9" s="9"/>
      <c r="W9" s="9" t="s">
        <v>52</v>
      </c>
      <c r="X9" s="9"/>
      <c r="Y9" s="9" t="s">
        <v>44</v>
      </c>
      <c r="Z9" s="9"/>
      <c r="AA9" s="9" t="s">
        <v>63</v>
      </c>
      <c r="AB9" s="9" t="s">
        <v>79</v>
      </c>
      <c r="AC9" s="9"/>
      <c r="AD9" s="9" t="s">
        <v>150</v>
      </c>
    </row>
    <row r="10" spans="1:30" ht="25.5" x14ac:dyDescent="0.25">
      <c r="A10" s="9">
        <v>6</v>
      </c>
      <c r="B10" s="9">
        <v>150</v>
      </c>
      <c r="C10" s="9">
        <f>I10*G10</f>
        <v>150</v>
      </c>
      <c r="D10" s="9">
        <f t="shared" si="5"/>
        <v>0</v>
      </c>
      <c r="E10" s="9" t="s">
        <v>37</v>
      </c>
      <c r="F10" s="9" t="s">
        <v>50</v>
      </c>
      <c r="G10" s="9">
        <v>50</v>
      </c>
      <c r="H10" s="9" t="s">
        <v>37</v>
      </c>
      <c r="I10" s="9">
        <v>3</v>
      </c>
      <c r="J10" s="9" t="s">
        <v>37</v>
      </c>
      <c r="K10" s="9"/>
      <c r="L10" s="9" t="s">
        <v>67</v>
      </c>
      <c r="M10" s="9"/>
      <c r="N10" s="9"/>
      <c r="O10" s="9" t="s">
        <v>68</v>
      </c>
      <c r="P10" s="9"/>
      <c r="Q10" s="9" t="s">
        <v>69</v>
      </c>
      <c r="R10" s="10">
        <v>10.45</v>
      </c>
      <c r="S10" s="10">
        <f>MTO[[#This Row],[Price/pcs]]*MTO[[#This Row],[Order Qty]]</f>
        <v>1567.5</v>
      </c>
      <c r="T10" s="9"/>
      <c r="U10" s="9"/>
      <c r="V10" s="9"/>
      <c r="W10" s="9" t="s">
        <v>52</v>
      </c>
      <c r="X10" s="9"/>
      <c r="Y10" s="9" t="s">
        <v>44</v>
      </c>
      <c r="Z10" s="9"/>
      <c r="AA10" s="9" t="s">
        <v>51</v>
      </c>
      <c r="AB10" s="9" t="s">
        <v>70</v>
      </c>
      <c r="AC10" s="9"/>
      <c r="AD10" s="9" t="s">
        <v>150</v>
      </c>
    </row>
    <row r="11" spans="1:30" ht="25.5" x14ac:dyDescent="0.25">
      <c r="A11" s="9">
        <v>7</v>
      </c>
      <c r="B11" s="9">
        <v>60</v>
      </c>
      <c r="C11" s="9">
        <f t="shared" ref="C11:C12" si="7">I11*G11</f>
        <v>100</v>
      </c>
      <c r="D11" s="9">
        <f t="shared" si="5"/>
        <v>40</v>
      </c>
      <c r="E11" s="9" t="s">
        <v>37</v>
      </c>
      <c r="F11" s="9" t="s">
        <v>65</v>
      </c>
      <c r="G11" s="9">
        <v>20</v>
      </c>
      <c r="H11" s="9" t="s">
        <v>37</v>
      </c>
      <c r="I11" s="9">
        <v>5</v>
      </c>
      <c r="J11" s="9" t="s">
        <v>66</v>
      </c>
      <c r="K11" s="9"/>
      <c r="L11" s="9" t="s">
        <v>71</v>
      </c>
      <c r="M11" s="9"/>
      <c r="N11" s="9" t="s">
        <v>72</v>
      </c>
      <c r="O11" s="9" t="s">
        <v>73</v>
      </c>
      <c r="P11" s="9">
        <v>1.4E-2</v>
      </c>
      <c r="Q11" s="9" t="s">
        <v>74</v>
      </c>
      <c r="R11" s="10">
        <v>0.34</v>
      </c>
      <c r="S11" s="10">
        <f>MTO[[#This Row],[Price/pcs]]*MTO[[#This Row],[Order Qty]]</f>
        <v>34</v>
      </c>
      <c r="T11" s="9"/>
      <c r="U11" s="9"/>
      <c r="V11" s="9"/>
      <c r="W11" s="9" t="s">
        <v>52</v>
      </c>
      <c r="X11" s="9"/>
      <c r="Y11" s="9" t="s">
        <v>44</v>
      </c>
      <c r="Z11" s="9"/>
      <c r="AA11" s="9" t="s">
        <v>63</v>
      </c>
      <c r="AB11" s="9" t="s">
        <v>75</v>
      </c>
      <c r="AC11" s="9"/>
      <c r="AD11" s="9" t="s">
        <v>150</v>
      </c>
    </row>
    <row r="12" spans="1:30" ht="25.5" x14ac:dyDescent="0.25">
      <c r="A12" s="9">
        <v>8</v>
      </c>
      <c r="B12" s="9">
        <v>36</v>
      </c>
      <c r="C12" s="9">
        <f t="shared" si="7"/>
        <v>42</v>
      </c>
      <c r="D12" s="9">
        <f t="shared" ref="D12:D13" si="8">C12-B12</f>
        <v>6</v>
      </c>
      <c r="E12" s="9" t="s">
        <v>46</v>
      </c>
      <c r="F12" s="9" t="s">
        <v>58</v>
      </c>
      <c r="G12" s="9">
        <v>3</v>
      </c>
      <c r="H12" s="9" t="s">
        <v>46</v>
      </c>
      <c r="I12" s="9">
        <v>14</v>
      </c>
      <c r="J12" s="9" t="s">
        <v>37</v>
      </c>
      <c r="K12" s="9"/>
      <c r="L12" s="9" t="s">
        <v>83</v>
      </c>
      <c r="M12" s="9"/>
      <c r="N12" s="9" t="s">
        <v>145</v>
      </c>
      <c r="O12" s="9" t="s">
        <v>61</v>
      </c>
      <c r="P12" s="9">
        <v>3.387</v>
      </c>
      <c r="Q12" s="9" t="s">
        <v>82</v>
      </c>
      <c r="R12" s="10">
        <v>12</v>
      </c>
      <c r="S12" s="10">
        <f>MTO[[#This Row],[Price/pcs]]*MTO[[#This Row],[Order Qty]]</f>
        <v>504</v>
      </c>
      <c r="T12" s="9"/>
      <c r="U12" s="9"/>
      <c r="V12" s="9"/>
      <c r="W12" s="9" t="s">
        <v>52</v>
      </c>
      <c r="X12" s="9"/>
      <c r="Y12" s="9" t="s">
        <v>44</v>
      </c>
      <c r="Z12" s="9"/>
      <c r="AA12" s="9" t="s">
        <v>63</v>
      </c>
      <c r="AB12" s="9" t="s">
        <v>84</v>
      </c>
      <c r="AC12" s="9"/>
      <c r="AD12" s="9" t="s">
        <v>150</v>
      </c>
    </row>
    <row r="13" spans="1:30" ht="25.5" x14ac:dyDescent="0.25">
      <c r="A13" s="9">
        <v>9</v>
      </c>
      <c r="B13" s="9">
        <v>150</v>
      </c>
      <c r="C13" s="9">
        <f t="shared" ref="C13" si="9">I13*G13</f>
        <v>200</v>
      </c>
      <c r="D13" s="9">
        <f t="shared" si="8"/>
        <v>50</v>
      </c>
      <c r="E13" s="9" t="s">
        <v>37</v>
      </c>
      <c r="F13" s="9" t="s">
        <v>65</v>
      </c>
      <c r="G13" s="9">
        <v>100</v>
      </c>
      <c r="H13" s="9" t="s">
        <v>37</v>
      </c>
      <c r="I13" s="9">
        <v>2</v>
      </c>
      <c r="J13" s="9" t="s">
        <v>66</v>
      </c>
      <c r="K13" s="9"/>
      <c r="L13" s="9" t="s">
        <v>85</v>
      </c>
      <c r="M13" s="9"/>
      <c r="N13" s="9" t="s">
        <v>86</v>
      </c>
      <c r="O13" s="9" t="s">
        <v>61</v>
      </c>
      <c r="P13" s="9" t="s">
        <v>87</v>
      </c>
      <c r="Q13" s="9" t="s">
        <v>88</v>
      </c>
      <c r="R13" s="10">
        <v>0.26</v>
      </c>
      <c r="S13" s="10">
        <f>MTO[[#This Row],[Price/pcs]]*MTO[[#This Row],[Order Qty]]</f>
        <v>52</v>
      </c>
      <c r="T13" s="9"/>
      <c r="U13" s="9"/>
      <c r="V13" s="9"/>
      <c r="W13" s="9" t="s">
        <v>52</v>
      </c>
      <c r="X13" s="9"/>
      <c r="Y13" s="9" t="s">
        <v>44</v>
      </c>
      <c r="Z13" s="9"/>
      <c r="AA13" s="9" t="s">
        <v>63</v>
      </c>
      <c r="AB13" s="9" t="s">
        <v>89</v>
      </c>
      <c r="AC13" s="9"/>
      <c r="AD13" s="9" t="s">
        <v>150</v>
      </c>
    </row>
    <row r="14" spans="1:30" ht="25.5" x14ac:dyDescent="0.25">
      <c r="A14" s="9">
        <v>10</v>
      </c>
      <c r="B14" s="9">
        <v>150</v>
      </c>
      <c r="C14" s="9">
        <f t="shared" ref="C14:C16" si="10">I14*G14</f>
        <v>200</v>
      </c>
      <c r="D14" s="9">
        <f t="shared" ref="D14:D16" si="11">C14-B14</f>
        <v>50</v>
      </c>
      <c r="E14" s="9" t="s">
        <v>37</v>
      </c>
      <c r="F14" s="9" t="s">
        <v>65</v>
      </c>
      <c r="G14" s="9">
        <v>100</v>
      </c>
      <c r="H14" s="9" t="s">
        <v>37</v>
      </c>
      <c r="I14" s="9">
        <v>2</v>
      </c>
      <c r="J14" s="9" t="s">
        <v>66</v>
      </c>
      <c r="K14" s="9"/>
      <c r="L14" s="9" t="s">
        <v>90</v>
      </c>
      <c r="M14" s="9"/>
      <c r="N14" s="9" t="s">
        <v>92</v>
      </c>
      <c r="O14" s="9" t="s">
        <v>61</v>
      </c>
      <c r="P14" s="9" t="s">
        <v>93</v>
      </c>
      <c r="Q14" s="9" t="s">
        <v>94</v>
      </c>
      <c r="R14" s="10">
        <v>0.16</v>
      </c>
      <c r="S14" s="10">
        <f>MTO[[#This Row],[Price/pcs]]*MTO[[#This Row],[Order Qty]]</f>
        <v>32</v>
      </c>
      <c r="T14" s="9"/>
      <c r="U14" s="9"/>
      <c r="V14" s="9"/>
      <c r="W14" s="9" t="s">
        <v>52</v>
      </c>
      <c r="X14" s="9"/>
      <c r="Y14" s="9" t="s">
        <v>44</v>
      </c>
      <c r="Z14" s="9"/>
      <c r="AA14" s="9" t="s">
        <v>63</v>
      </c>
      <c r="AB14" s="9" t="s">
        <v>98</v>
      </c>
      <c r="AC14" s="9"/>
      <c r="AD14" s="9" t="s">
        <v>150</v>
      </c>
    </row>
    <row r="15" spans="1:30" ht="25.5" x14ac:dyDescent="0.25">
      <c r="A15" s="9">
        <v>11</v>
      </c>
      <c r="B15" s="9">
        <v>150</v>
      </c>
      <c r="C15" s="9">
        <f t="shared" si="10"/>
        <v>200</v>
      </c>
      <c r="D15" s="9">
        <f t="shared" si="11"/>
        <v>50</v>
      </c>
      <c r="E15" s="9" t="s">
        <v>37</v>
      </c>
      <c r="F15" s="9" t="s">
        <v>65</v>
      </c>
      <c r="G15" s="9">
        <v>100</v>
      </c>
      <c r="H15" s="9" t="s">
        <v>37</v>
      </c>
      <c r="I15" s="9">
        <v>2</v>
      </c>
      <c r="J15" s="9" t="s">
        <v>66</v>
      </c>
      <c r="K15" s="9"/>
      <c r="L15" s="9" t="s">
        <v>91</v>
      </c>
      <c r="M15" s="9"/>
      <c r="N15" s="9" t="s">
        <v>95</v>
      </c>
      <c r="O15" s="9" t="s">
        <v>61</v>
      </c>
      <c r="P15" s="9" t="s">
        <v>96</v>
      </c>
      <c r="Q15" s="9" t="s">
        <v>97</v>
      </c>
      <c r="R15" s="10">
        <v>0.1</v>
      </c>
      <c r="S15" s="10">
        <f>MTO[[#This Row],[Price/pcs]]*MTO[[#This Row],[Order Qty]]</f>
        <v>20</v>
      </c>
      <c r="T15" s="9"/>
      <c r="U15" s="9"/>
      <c r="V15" s="9"/>
      <c r="W15" s="9" t="s">
        <v>52</v>
      </c>
      <c r="X15" s="9"/>
      <c r="Y15" s="9" t="s">
        <v>44</v>
      </c>
      <c r="Z15" s="9"/>
      <c r="AA15" s="9" t="s">
        <v>63</v>
      </c>
      <c r="AB15" s="9" t="s">
        <v>99</v>
      </c>
      <c r="AC15" s="9"/>
      <c r="AD15" s="9" t="s">
        <v>150</v>
      </c>
    </row>
    <row r="16" spans="1:30" ht="25.5" x14ac:dyDescent="0.25">
      <c r="A16" s="9">
        <v>12</v>
      </c>
      <c r="B16" s="9">
        <v>150</v>
      </c>
      <c r="C16" s="9">
        <f t="shared" si="10"/>
        <v>200</v>
      </c>
      <c r="D16" s="9">
        <f t="shared" si="11"/>
        <v>50</v>
      </c>
      <c r="E16" s="9" t="s">
        <v>37</v>
      </c>
      <c r="F16" s="9" t="s">
        <v>65</v>
      </c>
      <c r="G16" s="9">
        <v>100</v>
      </c>
      <c r="H16" s="9" t="s">
        <v>37</v>
      </c>
      <c r="I16" s="9">
        <v>2</v>
      </c>
      <c r="J16" s="9" t="s">
        <v>66</v>
      </c>
      <c r="K16" s="9"/>
      <c r="L16" s="9" t="s">
        <v>100</v>
      </c>
      <c r="M16" s="9"/>
      <c r="N16" s="9" t="s">
        <v>101</v>
      </c>
      <c r="O16" s="9" t="s">
        <v>61</v>
      </c>
      <c r="P16" s="9" t="s">
        <v>93</v>
      </c>
      <c r="Q16" s="9" t="s">
        <v>102</v>
      </c>
      <c r="R16" s="10">
        <v>0.16</v>
      </c>
      <c r="S16" s="10">
        <f>MTO[[#This Row],[Price/pcs]]*MTO[[#This Row],[Order Qty]]</f>
        <v>32</v>
      </c>
      <c r="T16" s="9"/>
      <c r="U16" s="9"/>
      <c r="V16" s="9"/>
      <c r="W16" s="9" t="s">
        <v>52</v>
      </c>
      <c r="X16" s="9"/>
      <c r="Y16" s="9" t="s">
        <v>44</v>
      </c>
      <c r="Z16" s="9"/>
      <c r="AA16" s="9" t="s">
        <v>63</v>
      </c>
      <c r="AB16" s="9" t="s">
        <v>107</v>
      </c>
      <c r="AC16" s="9"/>
      <c r="AD16" s="9" t="s">
        <v>152</v>
      </c>
    </row>
    <row r="17" spans="1:30" ht="25.5" x14ac:dyDescent="0.25">
      <c r="A17" s="9">
        <v>13</v>
      </c>
      <c r="B17" s="9">
        <v>150</v>
      </c>
      <c r="C17" s="9">
        <f t="shared" ref="C17:C18" si="12">I17*G17</f>
        <v>200</v>
      </c>
      <c r="D17" s="9">
        <f t="shared" ref="D17:D19" si="13">C17-B17</f>
        <v>50</v>
      </c>
      <c r="E17" s="9" t="s">
        <v>37</v>
      </c>
      <c r="F17" s="9" t="s">
        <v>65</v>
      </c>
      <c r="G17" s="9">
        <v>100</v>
      </c>
      <c r="H17" s="9" t="s">
        <v>37</v>
      </c>
      <c r="I17" s="9">
        <v>2</v>
      </c>
      <c r="J17" s="9" t="s">
        <v>66</v>
      </c>
      <c r="K17" s="9"/>
      <c r="L17" s="9" t="s">
        <v>103</v>
      </c>
      <c r="M17" s="9"/>
      <c r="N17" s="9" t="s">
        <v>104</v>
      </c>
      <c r="O17" s="9" t="s">
        <v>61</v>
      </c>
      <c r="P17" s="9" t="s">
        <v>105</v>
      </c>
      <c r="Q17" s="9" t="s">
        <v>106</v>
      </c>
      <c r="R17" s="10">
        <v>0.09</v>
      </c>
      <c r="S17" s="10">
        <f>MTO[[#This Row],[Price/pcs]]*MTO[[#This Row],[Order Qty]]</f>
        <v>18</v>
      </c>
      <c r="T17" s="9"/>
      <c r="U17" s="9"/>
      <c r="V17" s="9"/>
      <c r="W17" s="9" t="s">
        <v>52</v>
      </c>
      <c r="X17" s="9"/>
      <c r="Y17" s="9" t="s">
        <v>44</v>
      </c>
      <c r="Z17" s="9"/>
      <c r="AA17" s="9" t="s">
        <v>63</v>
      </c>
      <c r="AB17" s="9" t="s">
        <v>108</v>
      </c>
      <c r="AC17" s="9"/>
      <c r="AD17" s="9" t="s">
        <v>150</v>
      </c>
    </row>
    <row r="18" spans="1:30" ht="25.5" x14ac:dyDescent="0.25">
      <c r="A18" s="9">
        <v>14</v>
      </c>
      <c r="B18" s="9">
        <v>150</v>
      </c>
      <c r="C18" s="9">
        <f t="shared" si="12"/>
        <v>200</v>
      </c>
      <c r="D18" s="9">
        <f t="shared" si="13"/>
        <v>50</v>
      </c>
      <c r="E18" s="9" t="s">
        <v>37</v>
      </c>
      <c r="F18" s="9" t="s">
        <v>65</v>
      </c>
      <c r="G18" s="9">
        <v>100</v>
      </c>
      <c r="H18" s="9" t="s">
        <v>37</v>
      </c>
      <c r="I18" s="9">
        <v>2</v>
      </c>
      <c r="J18" s="9" t="s">
        <v>66</v>
      </c>
      <c r="K18" s="9"/>
      <c r="L18" s="9" t="s">
        <v>109</v>
      </c>
      <c r="M18" s="9"/>
      <c r="N18" s="9" t="s">
        <v>111</v>
      </c>
      <c r="O18" s="9" t="s">
        <v>61</v>
      </c>
      <c r="P18" s="9" t="s">
        <v>96</v>
      </c>
      <c r="Q18" s="9" t="s">
        <v>110</v>
      </c>
      <c r="R18" s="10">
        <v>0.08</v>
      </c>
      <c r="S18" s="10">
        <f>MTO[[#This Row],[Price/pcs]]*MTO[[#This Row],[Order Qty]]</f>
        <v>16</v>
      </c>
      <c r="T18" s="9"/>
      <c r="U18" s="9"/>
      <c r="V18" s="9"/>
      <c r="W18" s="9" t="s">
        <v>52</v>
      </c>
      <c r="X18" s="9"/>
      <c r="Y18" s="9" t="s">
        <v>44</v>
      </c>
      <c r="Z18" s="9"/>
      <c r="AA18" s="9" t="s">
        <v>63</v>
      </c>
      <c r="AB18" s="9">
        <v>4013339129607</v>
      </c>
      <c r="AC18" s="9"/>
      <c r="AD18" s="9" t="s">
        <v>153</v>
      </c>
    </row>
    <row r="19" spans="1:30" ht="27" x14ac:dyDescent="0.25">
      <c r="A19" s="9">
        <v>15</v>
      </c>
      <c r="B19" s="9">
        <v>140</v>
      </c>
      <c r="C19" s="9">
        <v>150</v>
      </c>
      <c r="D19" s="9">
        <f t="shared" si="13"/>
        <v>10</v>
      </c>
      <c r="E19" s="9" t="s">
        <v>46</v>
      </c>
      <c r="F19" s="9" t="s">
        <v>46</v>
      </c>
      <c r="G19" s="9">
        <v>150</v>
      </c>
      <c r="H19" s="9" t="s">
        <v>46</v>
      </c>
      <c r="I19" s="9">
        <v>1</v>
      </c>
      <c r="J19" s="9" t="s">
        <v>46</v>
      </c>
      <c r="K19" s="9"/>
      <c r="L19" s="9" t="s">
        <v>112</v>
      </c>
      <c r="M19" s="9"/>
      <c r="N19" s="9">
        <v>6</v>
      </c>
      <c r="O19" s="9" t="s">
        <v>113</v>
      </c>
      <c r="P19" s="9">
        <v>7.0999999999999994E-2</v>
      </c>
      <c r="Q19" s="9" t="s">
        <v>114</v>
      </c>
      <c r="R19" s="10">
        <v>2.0499999999999998</v>
      </c>
      <c r="S19" s="10">
        <f>MTO[[#This Row],[Price/pcs]]*MTO[[#This Row],[Order Qty]]</f>
        <v>307.5</v>
      </c>
      <c r="T19" s="9"/>
      <c r="U19" s="9"/>
      <c r="V19" s="9"/>
      <c r="W19" s="9" t="s">
        <v>52</v>
      </c>
      <c r="X19" s="9"/>
      <c r="Y19" s="9" t="s">
        <v>44</v>
      </c>
      <c r="Z19" s="9"/>
      <c r="AA19" s="9" t="s">
        <v>116</v>
      </c>
      <c r="AB19" s="9" t="s">
        <v>115</v>
      </c>
      <c r="AC19" s="9"/>
      <c r="AD19" s="9" t="s">
        <v>155</v>
      </c>
    </row>
    <row r="20" spans="1:30" ht="25.5" x14ac:dyDescent="0.25">
      <c r="A20" s="9">
        <v>16</v>
      </c>
      <c r="B20" s="9">
        <v>50</v>
      </c>
      <c r="C20" s="9">
        <f t="shared" ref="C20" si="14">I20*G20</f>
        <v>50</v>
      </c>
      <c r="D20" s="9">
        <f t="shared" ref="D20" si="15">C20-B20</f>
        <v>0</v>
      </c>
      <c r="E20" s="9" t="s">
        <v>37</v>
      </c>
      <c r="F20" s="9" t="s">
        <v>65</v>
      </c>
      <c r="G20" s="9">
        <v>50</v>
      </c>
      <c r="H20" s="9" t="s">
        <v>37</v>
      </c>
      <c r="I20" s="9">
        <v>1</v>
      </c>
      <c r="J20" s="9" t="s">
        <v>66</v>
      </c>
      <c r="K20" s="9"/>
      <c r="L20" s="9" t="s">
        <v>118</v>
      </c>
      <c r="M20" s="9"/>
      <c r="N20" s="9" t="s">
        <v>117</v>
      </c>
      <c r="O20" s="9" t="s">
        <v>122</v>
      </c>
      <c r="P20" s="9"/>
      <c r="Q20" s="9" t="s">
        <v>118</v>
      </c>
      <c r="R20" s="10">
        <v>0.91</v>
      </c>
      <c r="S20" s="10">
        <f>MTO[[#This Row],[Price/pcs]]*MTO[[#This Row],[Order Qty]]</f>
        <v>45.5</v>
      </c>
      <c r="T20" s="9"/>
      <c r="U20" s="9"/>
      <c r="V20" s="9"/>
      <c r="W20" s="9" t="s">
        <v>52</v>
      </c>
      <c r="X20" s="9"/>
      <c r="Y20" s="9" t="s">
        <v>44</v>
      </c>
      <c r="Z20" s="9"/>
      <c r="AA20" s="9" t="s">
        <v>119</v>
      </c>
      <c r="AB20" s="9">
        <v>8591120070223</v>
      </c>
      <c r="AC20" s="9"/>
      <c r="AD20" s="9" t="s">
        <v>150</v>
      </c>
    </row>
    <row r="21" spans="1:30" ht="25.5" x14ac:dyDescent="0.25">
      <c r="A21" s="9">
        <v>17</v>
      </c>
      <c r="B21" s="9">
        <v>50</v>
      </c>
      <c r="C21" s="9">
        <f t="shared" ref="C21" si="16">I21*G21</f>
        <v>100</v>
      </c>
      <c r="D21" s="9">
        <f t="shared" ref="D21:D24" si="17">C21-B21</f>
        <v>50</v>
      </c>
      <c r="E21" s="9" t="s">
        <v>37</v>
      </c>
      <c r="F21" s="9" t="s">
        <v>65</v>
      </c>
      <c r="G21" s="9">
        <v>100</v>
      </c>
      <c r="H21" s="9" t="s">
        <v>37</v>
      </c>
      <c r="I21" s="9">
        <v>1</v>
      </c>
      <c r="J21" s="9" t="s">
        <v>66</v>
      </c>
      <c r="K21" s="9"/>
      <c r="L21" s="9" t="s">
        <v>120</v>
      </c>
      <c r="M21" s="9"/>
      <c r="N21" s="9" t="s">
        <v>121</v>
      </c>
      <c r="O21" s="9" t="s">
        <v>122</v>
      </c>
      <c r="P21" s="9"/>
      <c r="Q21" s="9" t="s">
        <v>120</v>
      </c>
      <c r="R21" s="10">
        <v>0.66</v>
      </c>
      <c r="S21" s="10">
        <f>MTO[[#This Row],[Price/pcs]]*MTO[[#This Row],[Order Qty]]</f>
        <v>66</v>
      </c>
      <c r="T21" s="9"/>
      <c r="U21" s="9"/>
      <c r="V21" s="9"/>
      <c r="W21" s="9" t="s">
        <v>52</v>
      </c>
      <c r="X21" s="9"/>
      <c r="Y21" s="9" t="s">
        <v>44</v>
      </c>
      <c r="Z21" s="9"/>
      <c r="AA21" s="9" t="s">
        <v>124</v>
      </c>
      <c r="AB21" s="9" t="s">
        <v>123</v>
      </c>
      <c r="AC21" s="9"/>
      <c r="AD21" s="9" t="s">
        <v>150</v>
      </c>
    </row>
    <row r="22" spans="1:30" ht="27" x14ac:dyDescent="0.25">
      <c r="A22" s="9">
        <v>18</v>
      </c>
      <c r="B22" s="9">
        <v>100</v>
      </c>
      <c r="C22" s="9">
        <v>150</v>
      </c>
      <c r="D22" s="9">
        <f t="shared" si="17"/>
        <v>50</v>
      </c>
      <c r="E22" s="9" t="s">
        <v>46</v>
      </c>
      <c r="F22" s="9" t="s">
        <v>46</v>
      </c>
      <c r="G22" s="9">
        <v>100</v>
      </c>
      <c r="H22" s="9" t="s">
        <v>46</v>
      </c>
      <c r="I22" s="9">
        <v>1</v>
      </c>
      <c r="J22" s="9" t="s">
        <v>46</v>
      </c>
      <c r="K22" s="9"/>
      <c r="L22" s="9" t="s">
        <v>125</v>
      </c>
      <c r="M22" s="9"/>
      <c r="N22" s="9">
        <v>11.5</v>
      </c>
      <c r="O22" s="9" t="s">
        <v>113</v>
      </c>
      <c r="P22" s="9">
        <v>0.375</v>
      </c>
      <c r="Q22" s="9" t="s">
        <v>126</v>
      </c>
      <c r="R22" s="10">
        <v>9.43</v>
      </c>
      <c r="S22" s="10">
        <f>MTO[[#This Row],[Price/pcs]]*MTO[[#This Row],[Order Qty]]</f>
        <v>1414.5</v>
      </c>
      <c r="T22" s="9"/>
      <c r="U22" s="9"/>
      <c r="V22" s="9"/>
      <c r="W22" s="9" t="s">
        <v>52</v>
      </c>
      <c r="X22" s="9"/>
      <c r="Y22" s="9" t="s">
        <v>44</v>
      </c>
      <c r="Z22" s="9"/>
      <c r="AA22" s="9" t="s">
        <v>116</v>
      </c>
      <c r="AB22" s="9" t="s">
        <v>129</v>
      </c>
      <c r="AC22" s="9"/>
      <c r="AD22" s="9" t="s">
        <v>155</v>
      </c>
    </row>
    <row r="23" spans="1:30" ht="25.5" x14ac:dyDescent="0.25">
      <c r="A23" s="9">
        <v>19</v>
      </c>
      <c r="B23" s="9">
        <v>20</v>
      </c>
      <c r="C23" s="9">
        <f t="shared" ref="C23" si="18">I23*G23</f>
        <v>25</v>
      </c>
      <c r="D23" s="9">
        <f t="shared" si="17"/>
        <v>5</v>
      </c>
      <c r="E23" s="9" t="s">
        <v>37</v>
      </c>
      <c r="F23" s="9" t="s">
        <v>65</v>
      </c>
      <c r="G23" s="9">
        <v>25</v>
      </c>
      <c r="H23" s="9" t="s">
        <v>37</v>
      </c>
      <c r="I23" s="9">
        <v>1</v>
      </c>
      <c r="J23" s="9" t="s">
        <v>66</v>
      </c>
      <c r="K23" s="9"/>
      <c r="L23" s="9" t="s">
        <v>127</v>
      </c>
      <c r="M23" s="9"/>
      <c r="N23" s="9" t="s">
        <v>128</v>
      </c>
      <c r="O23" s="9" t="s">
        <v>122</v>
      </c>
      <c r="P23" s="9"/>
      <c r="Q23" s="9" t="s">
        <v>127</v>
      </c>
      <c r="R23" s="10">
        <v>1.7</v>
      </c>
      <c r="S23" s="10">
        <f>MTO[[#This Row],[Price/pcs]]*MTO[[#This Row],[Order Qty]]</f>
        <v>42.5</v>
      </c>
      <c r="T23" s="9"/>
      <c r="U23" s="9"/>
      <c r="V23" s="9"/>
      <c r="W23" s="9" t="s">
        <v>52</v>
      </c>
      <c r="X23" s="9"/>
      <c r="Y23" s="9" t="s">
        <v>44</v>
      </c>
      <c r="Z23" s="9"/>
      <c r="AA23" s="9" t="s">
        <v>124</v>
      </c>
      <c r="AB23" s="9" t="s">
        <v>130</v>
      </c>
      <c r="AC23" s="9"/>
      <c r="AD23" s="9" t="s">
        <v>150</v>
      </c>
    </row>
    <row r="24" spans="1:30" ht="38.25" x14ac:dyDescent="0.25">
      <c r="A24" s="9">
        <v>20</v>
      </c>
      <c r="B24" s="9">
        <v>20</v>
      </c>
      <c r="C24" s="9">
        <f t="shared" ref="C24" si="19">G24*I24</f>
        <v>50</v>
      </c>
      <c r="D24" s="9">
        <f t="shared" si="17"/>
        <v>30</v>
      </c>
      <c r="E24" s="9" t="s">
        <v>37</v>
      </c>
      <c r="F24" s="9" t="s">
        <v>50</v>
      </c>
      <c r="G24" s="9">
        <v>50</v>
      </c>
      <c r="H24" s="9" t="s">
        <v>37</v>
      </c>
      <c r="I24" s="9">
        <v>1</v>
      </c>
      <c r="J24" s="9" t="s">
        <v>37</v>
      </c>
      <c r="K24" s="9"/>
      <c r="L24" s="9" t="s">
        <v>131</v>
      </c>
      <c r="M24" s="9"/>
      <c r="N24" s="9" t="s">
        <v>132</v>
      </c>
      <c r="O24" s="9" t="s">
        <v>61</v>
      </c>
      <c r="P24" s="9" t="s">
        <v>133</v>
      </c>
      <c r="Q24" s="9" t="s">
        <v>134</v>
      </c>
      <c r="R24" s="10">
        <v>1.56</v>
      </c>
      <c r="S24" s="10">
        <f>MTO[[#This Row],[Price/pcs]]*MTO[[#This Row],[Order Qty]]</f>
        <v>78</v>
      </c>
      <c r="T24" s="9"/>
      <c r="U24" s="9"/>
      <c r="V24" s="9"/>
      <c r="W24" s="9" t="s">
        <v>52</v>
      </c>
      <c r="X24" s="9"/>
      <c r="Y24" s="9" t="s">
        <v>44</v>
      </c>
      <c r="Z24" s="9"/>
      <c r="AA24" s="9" t="s">
        <v>63</v>
      </c>
      <c r="AB24" s="9" t="s">
        <v>108</v>
      </c>
      <c r="AC24" s="9"/>
      <c r="AD24" s="9" t="s">
        <v>150</v>
      </c>
    </row>
    <row r="25" spans="1:30" ht="25.5" x14ac:dyDescent="0.25">
      <c r="A25" s="9">
        <v>21</v>
      </c>
      <c r="B25" s="9">
        <v>20</v>
      </c>
      <c r="C25" s="9">
        <f t="shared" ref="C25:C26" si="20">G25*I25</f>
        <v>50</v>
      </c>
      <c r="D25" s="9">
        <f t="shared" ref="D25:D27" si="21">C25-B25</f>
        <v>30</v>
      </c>
      <c r="E25" s="9" t="s">
        <v>37</v>
      </c>
      <c r="F25" s="9" t="s">
        <v>50</v>
      </c>
      <c r="G25" s="9">
        <v>50</v>
      </c>
      <c r="H25" s="9" t="s">
        <v>37</v>
      </c>
      <c r="I25" s="9">
        <v>1</v>
      </c>
      <c r="J25" s="9" t="s">
        <v>37</v>
      </c>
      <c r="K25" s="9"/>
      <c r="L25" s="9" t="s">
        <v>135</v>
      </c>
      <c r="M25" s="9"/>
      <c r="N25" s="9" t="s">
        <v>137</v>
      </c>
      <c r="O25" s="9" t="s">
        <v>61</v>
      </c>
      <c r="P25" s="9" t="s">
        <v>138</v>
      </c>
      <c r="Q25" s="9" t="s">
        <v>139</v>
      </c>
      <c r="R25" s="10">
        <v>4.51</v>
      </c>
      <c r="S25" s="10">
        <f>MTO[[#This Row],[Price/pcs]]*MTO[[#This Row],[Order Qty]]</f>
        <v>225.5</v>
      </c>
      <c r="T25" s="9"/>
      <c r="U25" s="9"/>
      <c r="V25" s="9"/>
      <c r="W25" s="9" t="s">
        <v>52</v>
      </c>
      <c r="X25" s="9"/>
      <c r="Y25" s="9" t="s">
        <v>44</v>
      </c>
      <c r="Z25" s="9"/>
      <c r="AA25" s="9" t="s">
        <v>63</v>
      </c>
      <c r="AB25" s="9" t="s">
        <v>143</v>
      </c>
      <c r="AC25" s="9"/>
      <c r="AD25" s="9" t="s">
        <v>150</v>
      </c>
    </row>
    <row r="26" spans="1:30" ht="25.5" x14ac:dyDescent="0.25">
      <c r="A26" s="9">
        <v>22</v>
      </c>
      <c r="B26" s="9">
        <v>20</v>
      </c>
      <c r="C26" s="9">
        <f t="shared" si="20"/>
        <v>50</v>
      </c>
      <c r="D26" s="9">
        <f t="shared" si="21"/>
        <v>30</v>
      </c>
      <c r="E26" s="9" t="s">
        <v>37</v>
      </c>
      <c r="F26" s="9" t="s">
        <v>50</v>
      </c>
      <c r="G26" s="9">
        <v>50</v>
      </c>
      <c r="H26" s="9" t="s">
        <v>37</v>
      </c>
      <c r="I26" s="9">
        <v>1</v>
      </c>
      <c r="J26" s="9" t="s">
        <v>37</v>
      </c>
      <c r="K26" s="9"/>
      <c r="L26" s="9" t="s">
        <v>136</v>
      </c>
      <c r="M26" s="9"/>
      <c r="N26" s="9" t="s">
        <v>140</v>
      </c>
      <c r="O26" s="9" t="s">
        <v>61</v>
      </c>
      <c r="P26" s="9" t="s">
        <v>141</v>
      </c>
      <c r="Q26" s="9" t="s">
        <v>142</v>
      </c>
      <c r="R26" s="10">
        <v>4.3099999999999996</v>
      </c>
      <c r="S26" s="10">
        <f>MTO[[#This Row],[Price/pcs]]*MTO[[#This Row],[Order Qty]]</f>
        <v>215.49999999999997</v>
      </c>
      <c r="T26" s="9"/>
      <c r="U26" s="9"/>
      <c r="V26" s="9"/>
      <c r="W26" s="9" t="s">
        <v>52</v>
      </c>
      <c r="X26" s="9"/>
      <c r="Y26" s="9" t="s">
        <v>44</v>
      </c>
      <c r="Z26" s="9"/>
      <c r="AA26" s="9" t="s">
        <v>63</v>
      </c>
      <c r="AB26" s="9" t="s">
        <v>144</v>
      </c>
      <c r="AC26" s="9"/>
      <c r="AD26" s="9" t="s">
        <v>150</v>
      </c>
    </row>
    <row r="27" spans="1:30" ht="25.5" x14ac:dyDescent="0.25">
      <c r="A27" s="9">
        <v>23</v>
      </c>
      <c r="B27" s="9">
        <v>10</v>
      </c>
      <c r="C27" s="9">
        <f t="shared" ref="C27" si="22">I27*G27</f>
        <v>10</v>
      </c>
      <c r="D27" s="9">
        <f t="shared" si="21"/>
        <v>0</v>
      </c>
      <c r="E27" s="9" t="s">
        <v>37</v>
      </c>
      <c r="F27" s="9" t="s">
        <v>65</v>
      </c>
      <c r="G27" s="9">
        <v>1</v>
      </c>
      <c r="H27" s="9" t="s">
        <v>37</v>
      </c>
      <c r="I27" s="9">
        <v>10</v>
      </c>
      <c r="J27" s="9" t="s">
        <v>37</v>
      </c>
      <c r="K27" s="9"/>
      <c r="L27" s="9" t="s">
        <v>146</v>
      </c>
      <c r="M27" s="9"/>
      <c r="N27" s="9" t="s">
        <v>147</v>
      </c>
      <c r="O27" s="9" t="s">
        <v>61</v>
      </c>
      <c r="P27" s="22">
        <v>1181</v>
      </c>
      <c r="Q27" s="9" t="s">
        <v>148</v>
      </c>
      <c r="R27" s="10">
        <v>5.37</v>
      </c>
      <c r="S27" s="10">
        <f>MTO[[#This Row],[Price/pcs]]*MTO[[#This Row],[Order Qty]]</f>
        <v>53.7</v>
      </c>
      <c r="T27" s="9"/>
      <c r="U27" s="9"/>
      <c r="V27" s="9"/>
      <c r="W27" s="9" t="s">
        <v>52</v>
      </c>
      <c r="X27" s="9"/>
      <c r="Y27" s="9" t="s">
        <v>44</v>
      </c>
      <c r="Z27" s="9"/>
      <c r="AA27" s="9" t="s">
        <v>63</v>
      </c>
      <c r="AB27" s="18" t="s">
        <v>149</v>
      </c>
      <c r="AC27" s="9"/>
      <c r="AD27" s="9" t="s">
        <v>150</v>
      </c>
    </row>
    <row r="28" spans="1:30" ht="15.75" thickBot="1" x14ac:dyDescent="0.3">
      <c r="A28" s="9">
        <v>24</v>
      </c>
      <c r="B28" s="9">
        <v>1</v>
      </c>
      <c r="C28" s="9">
        <v>1</v>
      </c>
      <c r="D28" s="9">
        <f>C28-B28</f>
        <v>0</v>
      </c>
      <c r="E28" s="9" t="s">
        <v>37</v>
      </c>
      <c r="F28" s="9" t="s">
        <v>37</v>
      </c>
      <c r="G28" s="9">
        <v>1</v>
      </c>
      <c r="H28" s="9" t="s">
        <v>37</v>
      </c>
      <c r="I28" s="9">
        <v>1</v>
      </c>
      <c r="J28" s="9" t="s">
        <v>37</v>
      </c>
      <c r="K28" s="9"/>
      <c r="L28" s="9" t="s">
        <v>42</v>
      </c>
      <c r="M28" s="9"/>
      <c r="N28" s="9"/>
      <c r="O28" s="9"/>
      <c r="P28" s="9"/>
      <c r="Q28" s="9"/>
      <c r="R28" s="19">
        <v>1000</v>
      </c>
      <c r="S28" s="19">
        <f>MTO[[#This Row],[Price/pcs]]*MTO[[#This Row],[Order Qty]]</f>
        <v>1000</v>
      </c>
      <c r="T28" s="9"/>
      <c r="U28" s="9"/>
      <c r="V28" s="9"/>
      <c r="W28" s="9"/>
      <c r="X28" s="9"/>
      <c r="Y28" s="9" t="s">
        <v>44</v>
      </c>
      <c r="Z28" s="9"/>
      <c r="AA28" s="9" t="s">
        <v>41</v>
      </c>
      <c r="AB28" s="9"/>
      <c r="AC28" s="9"/>
      <c r="AD28" s="9"/>
    </row>
    <row r="29" spans="1:30" ht="15.75" thickBot="1" x14ac:dyDescent="0.3">
      <c r="R29" s="20" t="s">
        <v>43</v>
      </c>
      <c r="S29" s="21">
        <f>SUM(S5:S28)</f>
        <v>9505.68</v>
      </c>
    </row>
  </sheetData>
  <sortState xmlns:xlrd2="http://schemas.microsoft.com/office/spreadsheetml/2017/richdata2" ref="A5:Z5">
    <sortCondition ref="A5"/>
  </sortState>
  <mergeCells count="5">
    <mergeCell ref="B1:E1"/>
    <mergeCell ref="B2:E2"/>
    <mergeCell ref="B3:E3"/>
    <mergeCell ref="K1:AB1"/>
    <mergeCell ref="K2:AB3"/>
  </mergeCells>
  <phoneticPr fontId="7" type="noConversion"/>
  <conditionalFormatting sqref="AB29:AB1048576 AB4">
    <cfRule type="duplicateValues" dxfId="1" priority="177"/>
  </conditionalFormatting>
  <conditionalFormatting sqref="AC1:AC3">
    <cfRule type="duplicateValues" dxfId="0" priority="13"/>
  </conditionalFormatting>
  <pageMargins left="0.25" right="0.25" top="0.75" bottom="0.75" header="0.3" footer="0.3"/>
  <pageSetup paperSize="8" scale="38" fitToHeight="0" orientation="landscape" r:id="rId1"/>
  <headerFooter>
    <oddHeader>&amp;L&amp;G&amp;R&amp;Pof&amp;N</oddHeader>
  </headerFooter>
  <legacyDrawingHF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5AF4B3805E41142B099516D5F652D53" ma:contentTypeVersion="16" ma:contentTypeDescription="Ein neues Dokument erstellen." ma:contentTypeScope="" ma:versionID="bdb87bcb9b331ae7f8a2ef3c1b53931e">
  <xsd:schema xmlns:xsd="http://www.w3.org/2001/XMLSchema" xmlns:xs="http://www.w3.org/2001/XMLSchema" xmlns:p="http://schemas.microsoft.com/office/2006/metadata/properties" xmlns:ns2="1261d7a0-8717-43b4-b6e3-4b2023d6fccb" xmlns:ns3="6b89a436-663c-412a-95b8-8c46945c24cd" targetNamespace="http://schemas.microsoft.com/office/2006/metadata/properties" ma:root="true" ma:fieldsID="1518c7799fa5a793ef595078e12d4233" ns2:_="" ns3:_="">
    <xsd:import namespace="1261d7a0-8717-43b4-b6e3-4b2023d6fccb"/>
    <xsd:import namespace="6b89a436-663c-412a-95b8-8c46945c24c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OCR" minOccurs="0"/>
                <xsd:element ref="ns3:Link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61d7a0-8717-43b4-b6e3-4b2023d6fcc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2da5c53-c103-488f-807a-4b18eca2d69c}" ma:internalName="TaxCatchAll" ma:showField="CatchAllData" ma:web="1261d7a0-8717-43b4-b6e3-4b2023d6fc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89a436-663c-412a-95b8-8c46945c24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Bildmarkierungen" ma:readOnly="false" ma:fieldId="{5cf76f15-5ced-4ddc-b409-7134ff3c332f}" ma:taxonomyMulti="true" ma:sspId="24705ede-e5fe-4ae4-9b77-86daa69e78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ink" ma:index="23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89a436-663c-412a-95b8-8c46945c24cd">
      <Terms xmlns="http://schemas.microsoft.com/office/infopath/2007/PartnerControls"/>
    </lcf76f155ced4ddcb4097134ff3c332f>
    <TaxCatchAll xmlns="1261d7a0-8717-43b4-b6e3-4b2023d6fccb" xsi:nil="true"/>
    <Link xmlns="6b89a436-663c-412a-95b8-8c46945c24cd">
      <Url xsi:nil="true"/>
      <Description xsi:nil="true"/>
    </Link>
  </documentManagement>
</p:properties>
</file>

<file path=customXml/itemProps1.xml><?xml version="1.0" encoding="utf-8"?>
<ds:datastoreItem xmlns:ds="http://schemas.openxmlformats.org/officeDocument/2006/customXml" ds:itemID="{4553B557-9A1C-4010-A73A-6F01FCBB03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492858-9F5F-444F-B61D-0C1D9A38F1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61d7a0-8717-43b4-b6e3-4b2023d6fccb"/>
    <ds:schemaRef ds:uri="6b89a436-663c-412a-95b8-8c46945c24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3C258F-2A31-4DA7-A18B-1701E02E8517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http://schemas.openxmlformats.org/package/2006/metadata/core-properties"/>
    <ds:schemaRef ds:uri="1261d7a0-8717-43b4-b6e3-4b2023d6fccb"/>
    <ds:schemaRef ds:uri="6b89a436-663c-412a-95b8-8c46945c24cd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Sarka Stetinova</dc:creator>
  <cp:keywords/>
  <dc:description/>
  <cp:lastModifiedBy>Tomas Pankulic (ACS)</cp:lastModifiedBy>
  <cp:revision/>
  <cp:lastPrinted>2026-06-12T13:51:01Z</cp:lastPrinted>
  <dcterms:created xsi:type="dcterms:W3CDTF">2022-12-08T08:34:07Z</dcterms:created>
  <dcterms:modified xsi:type="dcterms:W3CDTF">2026-07-29T08:03:42Z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0x01010025AF4B3805E41142B099516D5F652D53</vt:lpwstr>
  </property>
  <property fmtid="{D5CDD505-2E9C-101B-9397-08002B2CF9AE}" pid="3" name="MediaServiceImageTags">
    <vt:lpwstr/>
  </property>
</Properties>
</file>