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dor.chankov\Downloads\"/>
    </mc:Choice>
  </mc:AlternateContent>
  <xr:revisionPtr revIDLastSave="0" documentId="8_{5CD0E7A6-5D86-4CD2-9D1F-5AD7EA5EB67C}" xr6:coauthVersionLast="47" xr6:coauthVersionMax="47" xr10:uidLastSave="{00000000-0000-0000-0000-000000000000}"/>
  <bookViews>
    <workbookView xWindow="28702" yWindow="-98" windowWidth="28995" windowHeight="15675" activeTab="3" xr2:uid="{00000000-000D-0000-FFFF-FFFF00000000}"/>
  </bookViews>
  <sheets>
    <sheet name="Calculator" sheetId="1" r:id="rId1"/>
    <sheet name="SelectedCurve" sheetId="2" r:id="rId2"/>
    <sheet name="KL60_Fit_Curve" sheetId="3" r:id="rId3"/>
    <sheet name="KL60_Anchored_Curve" sheetId="4" r:id="rId4"/>
    <sheet name="KL100_Curve" sheetId="5" r:id="rId5"/>
    <sheet name="WSL105_Curve" sheetId="6" r:id="rId6"/>
    <sheet name="GD_Curve" sheetId="7" r:id="rId7"/>
    <sheet name="EL600_Curve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28" i="1"/>
  <c r="B25" i="1"/>
  <c r="E2" i="2" s="1"/>
  <c r="E3" i="2" s="1"/>
  <c r="B24" i="1"/>
  <c r="E1" i="2" s="1"/>
  <c r="A13" i="2" s="1"/>
  <c r="B21" i="1"/>
  <c r="B20" i="1"/>
  <c r="F16" i="1"/>
  <c r="F17" i="1" s="1"/>
  <c r="F19" i="1" s="1"/>
  <c r="A171" i="2" l="1"/>
  <c r="A98" i="2"/>
  <c r="A40" i="2"/>
  <c r="A228" i="2"/>
  <c r="A37" i="2"/>
  <c r="A152" i="2"/>
  <c r="A36" i="2"/>
  <c r="A226" i="2"/>
  <c r="A151" i="2"/>
  <c r="A93" i="2"/>
  <c r="A35" i="2"/>
  <c r="A150" i="2"/>
  <c r="A92" i="2"/>
  <c r="A208" i="2"/>
  <c r="A206" i="2"/>
  <c r="A154" i="2"/>
  <c r="A209" i="2"/>
  <c r="A34" i="2"/>
  <c r="A149" i="2"/>
  <c r="A91" i="2"/>
  <c r="A33" i="2"/>
  <c r="A207" i="2"/>
  <c r="A32" i="2"/>
  <c r="A231" i="2"/>
  <c r="A230" i="2"/>
  <c r="A170" i="2"/>
  <c r="A97" i="2"/>
  <c r="A39" i="2"/>
  <c r="A153" i="2"/>
  <c r="A95" i="2"/>
  <c r="A227" i="2"/>
  <c r="A94" i="2"/>
  <c r="A148" i="2"/>
  <c r="A147" i="2"/>
  <c r="A31" i="2"/>
  <c r="A229" i="2"/>
  <c r="A96" i="2"/>
  <c r="A38" i="2"/>
  <c r="A90" i="2"/>
  <c r="A89" i="2"/>
  <c r="B35" i="1"/>
  <c r="F21" i="1"/>
  <c r="A115" i="2"/>
  <c r="A233" i="2"/>
  <c r="A116" i="2"/>
  <c r="A174" i="2"/>
  <c r="A117" i="2"/>
  <c r="A235" i="2"/>
  <c r="A3" i="2"/>
  <c r="A60" i="2"/>
  <c r="A118" i="2"/>
  <c r="A176" i="2"/>
  <c r="A237" i="2"/>
  <c r="A4" i="2"/>
  <c r="A120" i="2"/>
  <c r="A254" i="2"/>
  <c r="A5" i="2"/>
  <c r="A63" i="2"/>
  <c r="A121" i="2"/>
  <c r="A255" i="2"/>
  <c r="A6" i="2"/>
  <c r="A64" i="2"/>
  <c r="A122" i="2"/>
  <c r="A256" i="2"/>
  <c r="A7" i="2"/>
  <c r="A123" i="2"/>
  <c r="A257" i="2"/>
  <c r="A8" i="2"/>
  <c r="A124" i="2"/>
  <c r="A198" i="2"/>
  <c r="A9" i="2"/>
  <c r="A199" i="2"/>
  <c r="F18" i="1"/>
  <c r="F20" i="1" s="1"/>
  <c r="B29" i="1" s="1"/>
  <c r="B34" i="1" s="1"/>
  <c r="F22" i="1"/>
  <c r="A301" i="2"/>
  <c r="A273" i="2"/>
  <c r="A245" i="2"/>
  <c r="A217" i="2"/>
  <c r="A189" i="2"/>
  <c r="A161" i="2"/>
  <c r="A133" i="2"/>
  <c r="A105" i="2"/>
  <c r="A77" i="2"/>
  <c r="A49" i="2"/>
  <c r="A21" i="2"/>
  <c r="A272" i="2"/>
  <c r="A244" i="2"/>
  <c r="A216" i="2"/>
  <c r="A188" i="2"/>
  <c r="A160" i="2"/>
  <c r="A132" i="2"/>
  <c r="A104" i="2"/>
  <c r="A76" i="2"/>
  <c r="A48" i="2"/>
  <c r="A20" i="2"/>
  <c r="A270" i="2"/>
  <c r="A242" i="2"/>
  <c r="A214" i="2"/>
  <c r="A186" i="2"/>
  <c r="A158" i="2"/>
  <c r="A130" i="2"/>
  <c r="A102" i="2"/>
  <c r="A74" i="2"/>
  <c r="A46" i="2"/>
  <c r="A18" i="2"/>
  <c r="A269" i="2"/>
  <c r="A241" i="2"/>
  <c r="A213" i="2"/>
  <c r="A185" i="2"/>
  <c r="A157" i="2"/>
  <c r="A129" i="2"/>
  <c r="A101" i="2"/>
  <c r="A73" i="2"/>
  <c r="A45" i="2"/>
  <c r="A17" i="2"/>
  <c r="A268" i="2"/>
  <c r="A212" i="2"/>
  <c r="A184" i="2"/>
  <c r="A156" i="2"/>
  <c r="A128" i="2"/>
  <c r="A72" i="2"/>
  <c r="A44" i="2"/>
  <c r="A16" i="2"/>
  <c r="A99" i="2"/>
  <c r="A182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53" i="2"/>
  <c r="A225" i="2"/>
  <c r="A197" i="2"/>
  <c r="A169" i="2"/>
  <c r="A141" i="2"/>
  <c r="A113" i="2"/>
  <c r="A85" i="2"/>
  <c r="A57" i="2"/>
  <c r="A29" i="2"/>
  <c r="A252" i="2"/>
  <c r="A224" i="2"/>
  <c r="A196" i="2"/>
  <c r="A168" i="2"/>
  <c r="A140" i="2"/>
  <c r="A112" i="2"/>
  <c r="A84" i="2"/>
  <c r="A56" i="2"/>
  <c r="A28" i="2"/>
  <c r="A2" i="2"/>
  <c r="A251" i="2"/>
  <c r="A223" i="2"/>
  <c r="A195" i="2"/>
  <c r="A167" i="2"/>
  <c r="A139" i="2"/>
  <c r="A111" i="2"/>
  <c r="A83" i="2"/>
  <c r="A55" i="2"/>
  <c r="A27" i="2"/>
  <c r="A250" i="2"/>
  <c r="A222" i="2"/>
  <c r="A194" i="2"/>
  <c r="A166" i="2"/>
  <c r="A138" i="2"/>
  <c r="A110" i="2"/>
  <c r="A82" i="2"/>
  <c r="A54" i="2"/>
  <c r="A26" i="2"/>
  <c r="A249" i="2"/>
  <c r="A221" i="2"/>
  <c r="A193" i="2"/>
  <c r="A165" i="2"/>
  <c r="A137" i="2"/>
  <c r="A109" i="2"/>
  <c r="A81" i="2"/>
  <c r="A53" i="2"/>
  <c r="A25" i="2"/>
  <c r="A248" i="2"/>
  <c r="A220" i="2"/>
  <c r="A192" i="2"/>
  <c r="A164" i="2"/>
  <c r="A136" i="2"/>
  <c r="A108" i="2"/>
  <c r="A80" i="2"/>
  <c r="A52" i="2"/>
  <c r="A24" i="2"/>
  <c r="A271" i="2"/>
  <c r="A243" i="2"/>
  <c r="A215" i="2"/>
  <c r="A187" i="2"/>
  <c r="A159" i="2"/>
  <c r="A131" i="2"/>
  <c r="A103" i="2"/>
  <c r="A75" i="2"/>
  <c r="A47" i="2"/>
  <c r="A19" i="2"/>
  <c r="A240" i="2"/>
  <c r="A100" i="2"/>
  <c r="A267" i="2"/>
  <c r="A239" i="2"/>
  <c r="A211" i="2"/>
  <c r="A183" i="2"/>
  <c r="A155" i="2"/>
  <c r="A127" i="2"/>
  <c r="A71" i="2"/>
  <c r="A43" i="2"/>
  <c r="A15" i="2"/>
  <c r="A266" i="2"/>
  <c r="A238" i="2"/>
  <c r="A210" i="2"/>
  <c r="A280" i="2"/>
  <c r="A279" i="2"/>
  <c r="A278" i="2"/>
  <c r="A277" i="2"/>
  <c r="A276" i="2"/>
  <c r="A275" i="2"/>
  <c r="A247" i="2"/>
  <c r="A219" i="2"/>
  <c r="A191" i="2"/>
  <c r="A163" i="2"/>
  <c r="A135" i="2"/>
  <c r="A107" i="2"/>
  <c r="A79" i="2"/>
  <c r="A51" i="2"/>
  <c r="A23" i="2"/>
  <c r="A246" i="2"/>
  <c r="A218" i="2"/>
  <c r="A190" i="2"/>
  <c r="A162" i="2"/>
  <c r="A134" i="2"/>
  <c r="A106" i="2"/>
  <c r="A78" i="2"/>
  <c r="A50" i="2"/>
  <c r="A22" i="2"/>
  <c r="A274" i="2"/>
  <c r="A41" i="2"/>
  <c r="A114" i="2"/>
  <c r="A172" i="2"/>
  <c r="A232" i="2"/>
  <c r="A42" i="2"/>
  <c r="A173" i="2"/>
  <c r="A58" i="2"/>
  <c r="A234" i="2"/>
  <c r="A59" i="2"/>
  <c r="A175" i="2"/>
  <c r="A236" i="2"/>
  <c r="A61" i="2"/>
  <c r="A119" i="2"/>
  <c r="A177" i="2"/>
  <c r="A62" i="2"/>
  <c r="A178" i="2"/>
  <c r="A179" i="2"/>
  <c r="A180" i="2"/>
  <c r="A65" i="2"/>
  <c r="A181" i="2"/>
  <c r="A66" i="2"/>
  <c r="A258" i="2"/>
  <c r="A67" i="2"/>
  <c r="A125" i="2"/>
  <c r="A259" i="2"/>
  <c r="A10" i="2"/>
  <c r="A68" i="2"/>
  <c r="A126" i="2"/>
  <c r="A200" i="2"/>
  <c r="A260" i="2"/>
  <c r="A11" i="2"/>
  <c r="A69" i="2"/>
  <c r="A142" i="2"/>
  <c r="A201" i="2"/>
  <c r="A261" i="2"/>
  <c r="A12" i="2"/>
  <c r="A70" i="2"/>
  <c r="A143" i="2"/>
  <c r="A202" i="2"/>
  <c r="A262" i="2"/>
  <c r="A86" i="2"/>
  <c r="A144" i="2"/>
  <c r="A203" i="2"/>
  <c r="A263" i="2"/>
  <c r="A14" i="2"/>
  <c r="A87" i="2"/>
  <c r="A145" i="2"/>
  <c r="A204" i="2"/>
  <c r="A264" i="2"/>
  <c r="A30" i="2"/>
  <c r="A88" i="2"/>
  <c r="A146" i="2"/>
  <c r="A205" i="2"/>
  <c r="A265" i="2"/>
  <c r="D36" i="1"/>
  <c r="D34" i="1" l="1"/>
  <c r="D35" i="1"/>
  <c r="E36" i="1"/>
  <c r="E35" i="1"/>
</calcChain>
</file>

<file path=xl/sharedStrings.xml><?xml version="1.0" encoding="utf-8"?>
<sst xmlns="http://schemas.openxmlformats.org/spreadsheetml/2006/main" count="60" uniqueCount="44">
  <si>
    <t>Niedax – Catalog Curve Calculator (v2 – adds KL 60 anchored)</t>
  </si>
  <si>
    <t>Tray Type</t>
  </si>
  <si>
    <t>KL 60 (anchored) uses points at 1.5, 2.75, 3.5, 4.0 m (kN/m).</t>
  </si>
  <si>
    <t>Model details / base points</t>
  </si>
  <si>
    <t>KL 60 (fit): q(L)=a/L^2+b/L+c [kN/m]</t>
  </si>
  <si>
    <t>KL 100: q(L)=a/L^2+b/L+c [kN/m]</t>
  </si>
  <si>
    <t>WSL 105: q(L)=A*L^{-n} [kN/m]</t>
  </si>
  <si>
    <t>KL 60 (anchored) base [kN/m]</t>
  </si>
  <si>
    <t>L (m)</t>
  </si>
  <si>
    <t>q (kN/m)</t>
  </si>
  <si>
    <t>GD finish base [kN/m]</t>
  </si>
  <si>
    <t>EL 600 base [kN/m]</t>
  </si>
  <si>
    <t>Inputs</t>
  </si>
  <si>
    <t>Enter span L (m)</t>
  </si>
  <si>
    <t>Enter load q (kN/m) (optional)</t>
  </si>
  <si>
    <t>Total weight load per meter (kg/m)</t>
  </si>
  <si>
    <t>q_from_kg_per_m (kN/m)</t>
  </si>
  <si>
    <t>q_used (kN/m)</t>
  </si>
  <si>
    <t>Active domain</t>
  </si>
  <si>
    <t>Lmin</t>
  </si>
  <si>
    <t>Lmax</t>
  </si>
  <si>
    <t>Results</t>
  </si>
  <si>
    <t>Computed q from L (kN/m)</t>
  </si>
  <si>
    <t>Computed L from q_used (m)</t>
  </si>
  <si>
    <t>Status</t>
  </si>
  <si>
    <t>Inverse helpers</t>
  </si>
  <si>
    <t>Disc D (KL fit/100)</t>
  </si>
  <si>
    <t>x1</t>
  </si>
  <si>
    <t>x2</t>
  </si>
  <si>
    <t>L1</t>
  </si>
  <si>
    <t>L2</t>
  </si>
  <si>
    <t>L_wsl</t>
  </si>
  <si>
    <t>L_gd</t>
  </si>
  <si>
    <t>L_el</t>
  </si>
  <si>
    <t>L_kl60_anchored</t>
  </si>
  <si>
    <t>L [m]</t>
  </si>
  <si>
    <t>q(L) [kN/m]</t>
  </si>
  <si>
    <t>Active Lmin</t>
  </si>
  <si>
    <t>Active Lmax</t>
  </si>
  <si>
    <t>Step</t>
  </si>
  <si>
    <t>Point for chart</t>
  </si>
  <si>
    <t>Span Lp (m)</t>
  </si>
  <si>
    <t>Load qp (kN/m)</t>
  </si>
  <si>
    <t>Chart helpers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</si>
</sst>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Belastungsdiagramm: q vs. Befestigungsabstand (Selected Tray)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Calculator!$B$3</c:f>
              <c:strCache>
                <c:ptCount val="1"/>
              </c:strCache>
            </c:strRef>
          </c:tx>
          <c:spPr>
            <a:ln w="28575"/>
          </c:spPr>
          <c:marker>
            <c:symbol val="none"/>
          </c:marker>
          <c:xVal>
            <c:numRef>
              <c:f>SelectedCurve!$A$2:$A$302</c:f>
              <c:numCache>
                <c:formatCode>0.000</c:formatCode>
                <c:ptCount val="301"/>
                <c:pt idx="0">
                  <c:v>1.5</c:v>
                </c:pt>
                <c:pt idx="1">
                  <c:v>1.5083333333333333</c:v>
                </c:pt>
                <c:pt idx="2">
                  <c:v>1.5166666666666666</c:v>
                </c:pt>
                <c:pt idx="3">
                  <c:v>1.5249999999999999</c:v>
                </c:pt>
                <c:pt idx="4">
                  <c:v>1.5333333333333334</c:v>
                </c:pt>
                <c:pt idx="5">
                  <c:v>1.5416666666666667</c:v>
                </c:pt>
                <c:pt idx="6">
                  <c:v>1.55</c:v>
                </c:pt>
                <c:pt idx="7">
                  <c:v>1.5583333333333333</c:v>
                </c:pt>
                <c:pt idx="8">
                  <c:v>1.5666666666666667</c:v>
                </c:pt>
                <c:pt idx="9">
                  <c:v>1.575</c:v>
                </c:pt>
                <c:pt idx="10">
                  <c:v>1.5833333333333333</c:v>
                </c:pt>
                <c:pt idx="11">
                  <c:v>1.5916666666666666</c:v>
                </c:pt>
                <c:pt idx="12">
                  <c:v>1.6</c:v>
                </c:pt>
                <c:pt idx="13">
                  <c:v>1.6083333333333334</c:v>
                </c:pt>
                <c:pt idx="14">
                  <c:v>1.6166666666666667</c:v>
                </c:pt>
                <c:pt idx="15">
                  <c:v>1.625</c:v>
                </c:pt>
                <c:pt idx="16">
                  <c:v>1.6333333333333333</c:v>
                </c:pt>
                <c:pt idx="17">
                  <c:v>1.6416666666666666</c:v>
                </c:pt>
                <c:pt idx="18">
                  <c:v>1.65</c:v>
                </c:pt>
                <c:pt idx="19">
                  <c:v>1.6583333333333332</c:v>
                </c:pt>
                <c:pt idx="20">
                  <c:v>1.6666666666666667</c:v>
                </c:pt>
                <c:pt idx="21">
                  <c:v>1.675</c:v>
                </c:pt>
                <c:pt idx="22">
                  <c:v>1.6833333333333333</c:v>
                </c:pt>
                <c:pt idx="23">
                  <c:v>1.6916666666666667</c:v>
                </c:pt>
                <c:pt idx="24">
                  <c:v>1.7</c:v>
                </c:pt>
                <c:pt idx="25">
                  <c:v>1.7083333333333333</c:v>
                </c:pt>
                <c:pt idx="26">
                  <c:v>1.7166666666666668</c:v>
                </c:pt>
                <c:pt idx="27">
                  <c:v>1.7250000000000001</c:v>
                </c:pt>
                <c:pt idx="28">
                  <c:v>1.7333333333333334</c:v>
                </c:pt>
                <c:pt idx="29">
                  <c:v>1.7416666666666667</c:v>
                </c:pt>
                <c:pt idx="30">
                  <c:v>1.75</c:v>
                </c:pt>
                <c:pt idx="31">
                  <c:v>1.7583333333333333</c:v>
                </c:pt>
                <c:pt idx="32">
                  <c:v>1.7666666666666666</c:v>
                </c:pt>
                <c:pt idx="33">
                  <c:v>1.7749999999999999</c:v>
                </c:pt>
                <c:pt idx="34">
                  <c:v>1.7833333333333332</c:v>
                </c:pt>
                <c:pt idx="35">
                  <c:v>1.7916666666666667</c:v>
                </c:pt>
                <c:pt idx="36">
                  <c:v>1.8</c:v>
                </c:pt>
                <c:pt idx="37">
                  <c:v>1.8083333333333333</c:v>
                </c:pt>
                <c:pt idx="38">
                  <c:v>1.8166666666666667</c:v>
                </c:pt>
                <c:pt idx="39">
                  <c:v>1.825</c:v>
                </c:pt>
                <c:pt idx="40">
                  <c:v>1.8333333333333333</c:v>
                </c:pt>
                <c:pt idx="41">
                  <c:v>1.8416666666666668</c:v>
                </c:pt>
                <c:pt idx="42">
                  <c:v>1.85</c:v>
                </c:pt>
                <c:pt idx="43">
                  <c:v>1.8583333333333334</c:v>
                </c:pt>
                <c:pt idx="44">
                  <c:v>1.8666666666666667</c:v>
                </c:pt>
                <c:pt idx="45">
                  <c:v>1.875</c:v>
                </c:pt>
                <c:pt idx="46">
                  <c:v>1.8833333333333333</c:v>
                </c:pt>
                <c:pt idx="47">
                  <c:v>1.8916666666666666</c:v>
                </c:pt>
                <c:pt idx="48">
                  <c:v>1.9</c:v>
                </c:pt>
                <c:pt idx="49">
                  <c:v>1.9083333333333332</c:v>
                </c:pt>
                <c:pt idx="50">
                  <c:v>1.9166666666666667</c:v>
                </c:pt>
                <c:pt idx="51">
                  <c:v>1.925</c:v>
                </c:pt>
                <c:pt idx="52">
                  <c:v>1.9333333333333333</c:v>
                </c:pt>
                <c:pt idx="53">
                  <c:v>1.9416666666666667</c:v>
                </c:pt>
                <c:pt idx="54">
                  <c:v>1.95</c:v>
                </c:pt>
                <c:pt idx="55">
                  <c:v>1.9583333333333333</c:v>
                </c:pt>
                <c:pt idx="56">
                  <c:v>1.9666666666666668</c:v>
                </c:pt>
                <c:pt idx="57">
                  <c:v>1.9750000000000001</c:v>
                </c:pt>
                <c:pt idx="58">
                  <c:v>1.9833333333333334</c:v>
                </c:pt>
                <c:pt idx="59">
                  <c:v>1.9916666666666667</c:v>
                </c:pt>
                <c:pt idx="60">
                  <c:v>2</c:v>
                </c:pt>
                <c:pt idx="61">
                  <c:v>2.0083333333333333</c:v>
                </c:pt>
                <c:pt idx="62">
                  <c:v>2.0166666666666666</c:v>
                </c:pt>
                <c:pt idx="63">
                  <c:v>2.0249999999999999</c:v>
                </c:pt>
                <c:pt idx="64">
                  <c:v>2.0333333333333332</c:v>
                </c:pt>
                <c:pt idx="65">
                  <c:v>2.0416666666666665</c:v>
                </c:pt>
                <c:pt idx="66">
                  <c:v>2.0499999999999998</c:v>
                </c:pt>
                <c:pt idx="67">
                  <c:v>2.0583333333333336</c:v>
                </c:pt>
                <c:pt idx="68">
                  <c:v>2.0666666666666664</c:v>
                </c:pt>
                <c:pt idx="69">
                  <c:v>2.0750000000000002</c:v>
                </c:pt>
                <c:pt idx="70">
                  <c:v>2.0833333333333335</c:v>
                </c:pt>
                <c:pt idx="71">
                  <c:v>2.0916666666666668</c:v>
                </c:pt>
                <c:pt idx="72">
                  <c:v>2.1</c:v>
                </c:pt>
                <c:pt idx="73">
                  <c:v>2.1083333333333334</c:v>
                </c:pt>
                <c:pt idx="74">
                  <c:v>2.1166666666666667</c:v>
                </c:pt>
                <c:pt idx="75">
                  <c:v>2.125</c:v>
                </c:pt>
                <c:pt idx="76">
                  <c:v>2.1333333333333333</c:v>
                </c:pt>
                <c:pt idx="77">
                  <c:v>2.1416666666666666</c:v>
                </c:pt>
                <c:pt idx="78">
                  <c:v>2.15</c:v>
                </c:pt>
                <c:pt idx="79">
                  <c:v>2.1583333333333332</c:v>
                </c:pt>
                <c:pt idx="80">
                  <c:v>2.1666666666666665</c:v>
                </c:pt>
                <c:pt idx="81">
                  <c:v>2.1749999999999998</c:v>
                </c:pt>
                <c:pt idx="82">
                  <c:v>2.1833333333333336</c:v>
                </c:pt>
                <c:pt idx="83">
                  <c:v>2.1916666666666664</c:v>
                </c:pt>
                <c:pt idx="84">
                  <c:v>2.2000000000000002</c:v>
                </c:pt>
                <c:pt idx="85">
                  <c:v>2.2083333333333335</c:v>
                </c:pt>
                <c:pt idx="86">
                  <c:v>2.2166666666666668</c:v>
                </c:pt>
                <c:pt idx="87">
                  <c:v>2.2250000000000001</c:v>
                </c:pt>
                <c:pt idx="88">
                  <c:v>2.2333333333333334</c:v>
                </c:pt>
                <c:pt idx="89">
                  <c:v>2.2416666666666667</c:v>
                </c:pt>
                <c:pt idx="90">
                  <c:v>2.25</c:v>
                </c:pt>
                <c:pt idx="91">
                  <c:v>2.2583333333333333</c:v>
                </c:pt>
                <c:pt idx="92">
                  <c:v>2.2666666666666666</c:v>
                </c:pt>
                <c:pt idx="93">
                  <c:v>2.2749999999999999</c:v>
                </c:pt>
                <c:pt idx="94">
                  <c:v>2.2833333333333332</c:v>
                </c:pt>
                <c:pt idx="95">
                  <c:v>2.2916666666666665</c:v>
                </c:pt>
                <c:pt idx="96">
                  <c:v>2.2999999999999998</c:v>
                </c:pt>
                <c:pt idx="97">
                  <c:v>2.3083333333333336</c:v>
                </c:pt>
                <c:pt idx="98">
                  <c:v>2.3166666666666664</c:v>
                </c:pt>
                <c:pt idx="99">
                  <c:v>2.3250000000000002</c:v>
                </c:pt>
                <c:pt idx="100">
                  <c:v>2.3333333333333335</c:v>
                </c:pt>
                <c:pt idx="101">
                  <c:v>2.3416666666666668</c:v>
                </c:pt>
                <c:pt idx="102">
                  <c:v>2.35</c:v>
                </c:pt>
                <c:pt idx="103">
                  <c:v>2.3583333333333334</c:v>
                </c:pt>
                <c:pt idx="104">
                  <c:v>2.3666666666666667</c:v>
                </c:pt>
                <c:pt idx="105">
                  <c:v>2.375</c:v>
                </c:pt>
                <c:pt idx="106">
                  <c:v>2.3833333333333333</c:v>
                </c:pt>
                <c:pt idx="107">
                  <c:v>2.3916666666666666</c:v>
                </c:pt>
                <c:pt idx="108">
                  <c:v>2.4</c:v>
                </c:pt>
                <c:pt idx="109">
                  <c:v>2.4083333333333332</c:v>
                </c:pt>
                <c:pt idx="110">
                  <c:v>2.4166666666666665</c:v>
                </c:pt>
                <c:pt idx="111">
                  <c:v>2.4249999999999998</c:v>
                </c:pt>
                <c:pt idx="112">
                  <c:v>2.4333333333333336</c:v>
                </c:pt>
                <c:pt idx="113">
                  <c:v>2.4416666666666664</c:v>
                </c:pt>
                <c:pt idx="114">
                  <c:v>2.4500000000000002</c:v>
                </c:pt>
                <c:pt idx="115">
                  <c:v>2.4583333333333335</c:v>
                </c:pt>
                <c:pt idx="116">
                  <c:v>2.4666666666666668</c:v>
                </c:pt>
                <c:pt idx="117">
                  <c:v>2.4750000000000001</c:v>
                </c:pt>
                <c:pt idx="118">
                  <c:v>2.4833333333333334</c:v>
                </c:pt>
                <c:pt idx="119">
                  <c:v>2.4916666666666667</c:v>
                </c:pt>
                <c:pt idx="120">
                  <c:v>2.5</c:v>
                </c:pt>
                <c:pt idx="121">
                  <c:v>2.5083333333333333</c:v>
                </c:pt>
                <c:pt idx="122">
                  <c:v>2.5166666666666666</c:v>
                </c:pt>
                <c:pt idx="123">
                  <c:v>2.5249999999999999</c:v>
                </c:pt>
                <c:pt idx="124">
                  <c:v>2.5333333333333332</c:v>
                </c:pt>
                <c:pt idx="125">
                  <c:v>2.541666666666667</c:v>
                </c:pt>
                <c:pt idx="126">
                  <c:v>2.5499999999999998</c:v>
                </c:pt>
                <c:pt idx="127">
                  <c:v>2.5583333333333336</c:v>
                </c:pt>
                <c:pt idx="128">
                  <c:v>2.5666666666666664</c:v>
                </c:pt>
                <c:pt idx="129">
                  <c:v>2.5750000000000002</c:v>
                </c:pt>
                <c:pt idx="130">
                  <c:v>2.583333333333333</c:v>
                </c:pt>
                <c:pt idx="131">
                  <c:v>2.5916666666666668</c:v>
                </c:pt>
                <c:pt idx="132">
                  <c:v>2.6</c:v>
                </c:pt>
                <c:pt idx="133">
                  <c:v>2.6083333333333334</c:v>
                </c:pt>
                <c:pt idx="134">
                  <c:v>2.6166666666666667</c:v>
                </c:pt>
                <c:pt idx="135">
                  <c:v>2.625</c:v>
                </c:pt>
                <c:pt idx="136">
                  <c:v>2.6333333333333333</c:v>
                </c:pt>
                <c:pt idx="137">
                  <c:v>2.6416666666666666</c:v>
                </c:pt>
                <c:pt idx="138">
                  <c:v>2.65</c:v>
                </c:pt>
                <c:pt idx="139">
                  <c:v>2.6583333333333332</c:v>
                </c:pt>
                <c:pt idx="140">
                  <c:v>2.666666666666667</c:v>
                </c:pt>
                <c:pt idx="141">
                  <c:v>2.6749999999999998</c:v>
                </c:pt>
                <c:pt idx="142">
                  <c:v>2.6833333333333336</c:v>
                </c:pt>
                <c:pt idx="143">
                  <c:v>2.6916666666666664</c:v>
                </c:pt>
                <c:pt idx="144">
                  <c:v>2.7</c:v>
                </c:pt>
                <c:pt idx="145">
                  <c:v>2.708333333333333</c:v>
                </c:pt>
                <c:pt idx="146">
                  <c:v>2.7166666666666668</c:v>
                </c:pt>
                <c:pt idx="147">
                  <c:v>2.7250000000000001</c:v>
                </c:pt>
                <c:pt idx="148">
                  <c:v>2.7333333333333334</c:v>
                </c:pt>
                <c:pt idx="149">
                  <c:v>2.7416666666666667</c:v>
                </c:pt>
                <c:pt idx="150">
                  <c:v>2.75</c:v>
                </c:pt>
                <c:pt idx="151">
                  <c:v>2.7583333333333333</c:v>
                </c:pt>
                <c:pt idx="152">
                  <c:v>2.7666666666666666</c:v>
                </c:pt>
                <c:pt idx="153">
                  <c:v>2.7749999999999999</c:v>
                </c:pt>
                <c:pt idx="154">
                  <c:v>2.7833333333333332</c:v>
                </c:pt>
                <c:pt idx="155">
                  <c:v>2.791666666666667</c:v>
                </c:pt>
                <c:pt idx="156">
                  <c:v>2.8</c:v>
                </c:pt>
                <c:pt idx="157">
                  <c:v>2.8083333333333336</c:v>
                </c:pt>
                <c:pt idx="158">
                  <c:v>2.8166666666666664</c:v>
                </c:pt>
                <c:pt idx="159">
                  <c:v>2.8250000000000002</c:v>
                </c:pt>
                <c:pt idx="160">
                  <c:v>2.833333333333333</c:v>
                </c:pt>
                <c:pt idx="161">
                  <c:v>2.8416666666666668</c:v>
                </c:pt>
                <c:pt idx="162">
                  <c:v>2.85</c:v>
                </c:pt>
                <c:pt idx="163">
                  <c:v>2.8583333333333334</c:v>
                </c:pt>
                <c:pt idx="164">
                  <c:v>2.8666666666666667</c:v>
                </c:pt>
                <c:pt idx="165">
                  <c:v>2.875</c:v>
                </c:pt>
                <c:pt idx="166">
                  <c:v>2.8833333333333333</c:v>
                </c:pt>
                <c:pt idx="167">
                  <c:v>2.8916666666666666</c:v>
                </c:pt>
                <c:pt idx="168">
                  <c:v>2.9</c:v>
                </c:pt>
                <c:pt idx="169">
                  <c:v>2.9083333333333332</c:v>
                </c:pt>
                <c:pt idx="170">
                  <c:v>2.916666666666667</c:v>
                </c:pt>
                <c:pt idx="171">
                  <c:v>2.9249999999999998</c:v>
                </c:pt>
                <c:pt idx="172">
                  <c:v>2.9333333333333336</c:v>
                </c:pt>
                <c:pt idx="173">
                  <c:v>2.9416666666666664</c:v>
                </c:pt>
                <c:pt idx="174">
                  <c:v>2.95</c:v>
                </c:pt>
                <c:pt idx="175">
                  <c:v>2.958333333333333</c:v>
                </c:pt>
                <c:pt idx="176">
                  <c:v>2.9666666666666668</c:v>
                </c:pt>
                <c:pt idx="177">
                  <c:v>2.9750000000000001</c:v>
                </c:pt>
                <c:pt idx="178">
                  <c:v>2.9833333333333334</c:v>
                </c:pt>
                <c:pt idx="179">
                  <c:v>2.9916666666666667</c:v>
                </c:pt>
                <c:pt idx="180">
                  <c:v>3</c:v>
                </c:pt>
                <c:pt idx="181">
                  <c:v>3.0083333333333333</c:v>
                </c:pt>
                <c:pt idx="182">
                  <c:v>3.0166666666666666</c:v>
                </c:pt>
                <c:pt idx="183">
                  <c:v>3.0249999999999999</c:v>
                </c:pt>
                <c:pt idx="184">
                  <c:v>3.0333333333333332</c:v>
                </c:pt>
                <c:pt idx="185">
                  <c:v>3.041666666666667</c:v>
                </c:pt>
                <c:pt idx="186">
                  <c:v>3.05</c:v>
                </c:pt>
                <c:pt idx="187">
                  <c:v>3.0583333333333336</c:v>
                </c:pt>
                <c:pt idx="188">
                  <c:v>3.0666666666666664</c:v>
                </c:pt>
                <c:pt idx="189">
                  <c:v>3.0750000000000002</c:v>
                </c:pt>
                <c:pt idx="190">
                  <c:v>3.083333333333333</c:v>
                </c:pt>
                <c:pt idx="191">
                  <c:v>3.0916666666666668</c:v>
                </c:pt>
                <c:pt idx="192">
                  <c:v>3.1</c:v>
                </c:pt>
                <c:pt idx="193">
                  <c:v>3.1083333333333334</c:v>
                </c:pt>
                <c:pt idx="194">
                  <c:v>3.1166666666666667</c:v>
                </c:pt>
                <c:pt idx="195">
                  <c:v>3.125</c:v>
                </c:pt>
                <c:pt idx="196">
                  <c:v>3.1333333333333333</c:v>
                </c:pt>
                <c:pt idx="197">
                  <c:v>3.1416666666666666</c:v>
                </c:pt>
                <c:pt idx="198">
                  <c:v>3.15</c:v>
                </c:pt>
                <c:pt idx="199">
                  <c:v>3.1583333333333332</c:v>
                </c:pt>
                <c:pt idx="200">
                  <c:v>3.166666666666667</c:v>
                </c:pt>
                <c:pt idx="201">
                  <c:v>3.1749999999999998</c:v>
                </c:pt>
                <c:pt idx="202">
                  <c:v>3.1833333333333336</c:v>
                </c:pt>
                <c:pt idx="203">
                  <c:v>3.1916666666666664</c:v>
                </c:pt>
                <c:pt idx="204">
                  <c:v>3.2</c:v>
                </c:pt>
                <c:pt idx="205">
                  <c:v>3.208333333333333</c:v>
                </c:pt>
                <c:pt idx="206">
                  <c:v>3.2166666666666668</c:v>
                </c:pt>
                <c:pt idx="207">
                  <c:v>3.2249999999999996</c:v>
                </c:pt>
                <c:pt idx="208">
                  <c:v>3.2333333333333334</c:v>
                </c:pt>
                <c:pt idx="209">
                  <c:v>3.2416666666666667</c:v>
                </c:pt>
                <c:pt idx="210">
                  <c:v>3.25</c:v>
                </c:pt>
                <c:pt idx="211">
                  <c:v>3.2583333333333333</c:v>
                </c:pt>
                <c:pt idx="212">
                  <c:v>3.2666666666666666</c:v>
                </c:pt>
                <c:pt idx="213">
                  <c:v>3.2749999999999999</c:v>
                </c:pt>
                <c:pt idx="214">
                  <c:v>3.2833333333333332</c:v>
                </c:pt>
                <c:pt idx="215">
                  <c:v>3.291666666666667</c:v>
                </c:pt>
                <c:pt idx="216">
                  <c:v>3.3</c:v>
                </c:pt>
                <c:pt idx="217">
                  <c:v>3.3083333333333336</c:v>
                </c:pt>
                <c:pt idx="218">
                  <c:v>3.3166666666666664</c:v>
                </c:pt>
                <c:pt idx="219">
                  <c:v>3.3250000000000002</c:v>
                </c:pt>
                <c:pt idx="220">
                  <c:v>3.333333333333333</c:v>
                </c:pt>
                <c:pt idx="221">
                  <c:v>3.3416666666666668</c:v>
                </c:pt>
                <c:pt idx="222">
                  <c:v>3.3499999999999996</c:v>
                </c:pt>
                <c:pt idx="223">
                  <c:v>3.3583333333333334</c:v>
                </c:pt>
                <c:pt idx="224">
                  <c:v>3.3666666666666667</c:v>
                </c:pt>
                <c:pt idx="225">
                  <c:v>3.375</c:v>
                </c:pt>
                <c:pt idx="226">
                  <c:v>3.3833333333333333</c:v>
                </c:pt>
                <c:pt idx="227">
                  <c:v>3.3916666666666666</c:v>
                </c:pt>
                <c:pt idx="228">
                  <c:v>3.4</c:v>
                </c:pt>
                <c:pt idx="229">
                  <c:v>3.4083333333333332</c:v>
                </c:pt>
                <c:pt idx="230">
                  <c:v>3.416666666666667</c:v>
                </c:pt>
                <c:pt idx="231">
                  <c:v>3.4249999999999998</c:v>
                </c:pt>
                <c:pt idx="232">
                  <c:v>3.4333333333333336</c:v>
                </c:pt>
                <c:pt idx="233">
                  <c:v>3.4416666666666664</c:v>
                </c:pt>
                <c:pt idx="234">
                  <c:v>3.45</c:v>
                </c:pt>
                <c:pt idx="235">
                  <c:v>3.458333333333333</c:v>
                </c:pt>
                <c:pt idx="236">
                  <c:v>3.4666666666666668</c:v>
                </c:pt>
                <c:pt idx="237">
                  <c:v>3.4749999999999996</c:v>
                </c:pt>
                <c:pt idx="238">
                  <c:v>3.4833333333333334</c:v>
                </c:pt>
                <c:pt idx="239">
                  <c:v>3.4916666666666667</c:v>
                </c:pt>
                <c:pt idx="240">
                  <c:v>3.5</c:v>
                </c:pt>
                <c:pt idx="241">
                  <c:v>3.5083333333333333</c:v>
                </c:pt>
                <c:pt idx="242">
                  <c:v>3.5166666666666666</c:v>
                </c:pt>
                <c:pt idx="243">
                  <c:v>3.5249999999999999</c:v>
                </c:pt>
                <c:pt idx="244">
                  <c:v>3.5333333333333332</c:v>
                </c:pt>
                <c:pt idx="245">
                  <c:v>3.5416666666666665</c:v>
                </c:pt>
                <c:pt idx="246">
                  <c:v>3.55</c:v>
                </c:pt>
                <c:pt idx="247">
                  <c:v>3.5583333333333331</c:v>
                </c:pt>
                <c:pt idx="248">
                  <c:v>3.5666666666666664</c:v>
                </c:pt>
                <c:pt idx="249">
                  <c:v>3.5750000000000002</c:v>
                </c:pt>
                <c:pt idx="250">
                  <c:v>3.5833333333333335</c:v>
                </c:pt>
                <c:pt idx="251">
                  <c:v>3.5916666666666668</c:v>
                </c:pt>
                <c:pt idx="252">
                  <c:v>3.6</c:v>
                </c:pt>
                <c:pt idx="253">
                  <c:v>3.6083333333333334</c:v>
                </c:pt>
                <c:pt idx="254">
                  <c:v>3.6166666666666667</c:v>
                </c:pt>
                <c:pt idx="255">
                  <c:v>3.625</c:v>
                </c:pt>
                <c:pt idx="256">
                  <c:v>3.6333333333333333</c:v>
                </c:pt>
                <c:pt idx="257">
                  <c:v>3.6416666666666666</c:v>
                </c:pt>
                <c:pt idx="258">
                  <c:v>3.65</c:v>
                </c:pt>
                <c:pt idx="259">
                  <c:v>3.6583333333333332</c:v>
                </c:pt>
                <c:pt idx="260">
                  <c:v>3.6666666666666665</c:v>
                </c:pt>
                <c:pt idx="261">
                  <c:v>3.6749999999999998</c:v>
                </c:pt>
                <c:pt idx="262">
                  <c:v>3.6833333333333331</c:v>
                </c:pt>
                <c:pt idx="263">
                  <c:v>3.6916666666666664</c:v>
                </c:pt>
                <c:pt idx="264">
                  <c:v>3.7</c:v>
                </c:pt>
                <c:pt idx="265">
                  <c:v>3.7083333333333335</c:v>
                </c:pt>
                <c:pt idx="266">
                  <c:v>3.7166666666666668</c:v>
                </c:pt>
                <c:pt idx="267">
                  <c:v>3.7250000000000001</c:v>
                </c:pt>
                <c:pt idx="268">
                  <c:v>3.7333333333333334</c:v>
                </c:pt>
                <c:pt idx="269">
                  <c:v>3.7416666666666667</c:v>
                </c:pt>
                <c:pt idx="270">
                  <c:v>3.75</c:v>
                </c:pt>
                <c:pt idx="271">
                  <c:v>3.7583333333333333</c:v>
                </c:pt>
                <c:pt idx="272">
                  <c:v>3.7666666666666666</c:v>
                </c:pt>
                <c:pt idx="273">
                  <c:v>3.7749999999999999</c:v>
                </c:pt>
                <c:pt idx="274">
                  <c:v>3.7833333333333332</c:v>
                </c:pt>
                <c:pt idx="275">
                  <c:v>3.7916666666666665</c:v>
                </c:pt>
                <c:pt idx="276">
                  <c:v>3.8</c:v>
                </c:pt>
                <c:pt idx="277">
                  <c:v>3.8083333333333331</c:v>
                </c:pt>
                <c:pt idx="278">
                  <c:v>3.8166666666666664</c:v>
                </c:pt>
                <c:pt idx="279">
                  <c:v>3.8250000000000002</c:v>
                </c:pt>
                <c:pt idx="280">
                  <c:v>3.8333333333333335</c:v>
                </c:pt>
                <c:pt idx="281">
                  <c:v>3.8416666666666668</c:v>
                </c:pt>
                <c:pt idx="282">
                  <c:v>3.85</c:v>
                </c:pt>
                <c:pt idx="283">
                  <c:v>3.8583333333333334</c:v>
                </c:pt>
                <c:pt idx="284">
                  <c:v>3.8666666666666667</c:v>
                </c:pt>
                <c:pt idx="285">
                  <c:v>3.875</c:v>
                </c:pt>
                <c:pt idx="286">
                  <c:v>3.8833333333333333</c:v>
                </c:pt>
                <c:pt idx="287">
                  <c:v>3.8916666666666666</c:v>
                </c:pt>
                <c:pt idx="288">
                  <c:v>3.9</c:v>
                </c:pt>
                <c:pt idx="289">
                  <c:v>3.9083333333333332</c:v>
                </c:pt>
                <c:pt idx="290">
                  <c:v>3.9166666666666665</c:v>
                </c:pt>
                <c:pt idx="291">
                  <c:v>3.9249999999999998</c:v>
                </c:pt>
                <c:pt idx="292">
                  <c:v>3.9333333333333331</c:v>
                </c:pt>
                <c:pt idx="293">
                  <c:v>3.9416666666666664</c:v>
                </c:pt>
                <c:pt idx="294">
                  <c:v>3.95</c:v>
                </c:pt>
                <c:pt idx="295">
                  <c:v>3.9583333333333335</c:v>
                </c:pt>
                <c:pt idx="296">
                  <c:v>3.9666666666666668</c:v>
                </c:pt>
                <c:pt idx="297">
                  <c:v>3.9750000000000001</c:v>
                </c:pt>
                <c:pt idx="298">
                  <c:v>3.9833333333333334</c:v>
                </c:pt>
                <c:pt idx="299">
                  <c:v>3.9916666666666667</c:v>
                </c:pt>
              </c:numCache>
            </c:numRef>
          </c:xVal>
          <c:yVal>
            <c:numRef>
              <c:f>SelectedCurve!$B$2:$B$302</c:f>
              <c:numCache>
                <c:formatCode>0.000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70-4916-8309-E4C277968377}"/>
            </c:ext>
          </c:extLst>
        </c:ser>
        <c:ser>
          <c:idx val="1"/>
          <c:order val="1"/>
          <c:tx>
            <c:v>Design point</c:v>
          </c:tx>
          <c:marker>
            <c:symbol val="circle"/>
            <c:size val="7"/>
          </c:marker>
          <c:xVal>
            <c:numRef>
              <c:f>Calculator!$B$34</c:f>
              <c:numCache>
                <c:formatCode>0.000</c:formatCode>
                <c:ptCount val="1"/>
                <c:pt idx="0">
                  <c:v>0</c:v>
                </c:pt>
              </c:numCache>
            </c:numRef>
          </c:xVal>
          <c:yVal>
            <c:numRef>
              <c:f>Calculator!$B$35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70-4916-8309-E4C277968377}"/>
            </c:ext>
          </c:extLst>
        </c:ser>
        <c:ser>
          <c:idx val="2"/>
          <c:order val="2"/>
          <c:tx>
            <c:v>Vert</c:v>
          </c:tx>
          <c:spPr>
            <a:ln w="12700">
              <a:prstDash val="dash"/>
            </a:ln>
          </c:spPr>
          <c:marker>
            <c:symbol val="none"/>
          </c:marker>
          <c:xVal>
            <c:numRef>
              <c:f>Calculator!$D$34:$D$35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Calculator!$E$34:$E$35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70-4916-8309-E4C277968377}"/>
            </c:ext>
          </c:extLst>
        </c:ser>
        <c:ser>
          <c:idx val="3"/>
          <c:order val="3"/>
          <c:tx>
            <c:v>Horiz</c:v>
          </c:tx>
          <c:spPr>
            <a:ln w="12700">
              <a:prstDash val="dash"/>
            </a:ln>
          </c:spPr>
          <c:marker>
            <c:symbol val="none"/>
          </c:marker>
          <c:xVal>
            <c:numRef>
              <c:f>Calculator!$D$35:$D$36</c:f>
              <c:numCache>
                <c:formatCode>General</c:formatCode>
                <c:ptCount val="2"/>
                <c:pt idx="0">
                  <c:v>0</c:v>
                </c:pt>
                <c:pt idx="1">
                  <c:v>1.5</c:v>
                </c:pt>
              </c:numCache>
            </c:numRef>
          </c:xVal>
          <c:yVal>
            <c:numRef>
              <c:f>Calculator!$E$35:$E$36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70-4916-8309-E4C277968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Befestigungsabstand L (m)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ax val="3.5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Belastung q (kN/m)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3</xdr:col>
      <xdr:colOff>1628775</xdr:colOff>
      <xdr:row>62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workbookViewId="0"/>
  </sheetViews>
  <sheetFormatPr defaultRowHeight="14.25" x14ac:dyDescent="0.45"/>
  <cols>
    <col min="1" max="1" width="42.73046875" customWidth="1"/>
    <col min="2" max="2" width="26.73046875" customWidth="1"/>
    <col min="3" max="4" width="34.73046875" customWidth="1"/>
    <col min="5" max="6" width="26.73046875" customWidth="1"/>
    <col min="7" max="8" width="22.73046875" customWidth="1"/>
    <col min="10" max="11" width="16.73046875" customWidth="1"/>
    <col min="13" max="14" width="16.73046875" customWidth="1"/>
    <col min="16" max="17" width="16.73046875" customWidth="1"/>
  </cols>
  <sheetData>
    <row r="1" spans="1:17" ht="18" x14ac:dyDescent="0.55000000000000004">
      <c r="A1" s="1" t="s">
        <v>0</v>
      </c>
    </row>
    <row r="3" spans="1:17" ht="15.75" x14ac:dyDescent="0.5">
      <c r="A3" s="2" t="s">
        <v>1</v>
      </c>
      <c r="C3" s="3" t="s">
        <v>2</v>
      </c>
    </row>
    <row r="5" spans="1:17" ht="15.75" x14ac:dyDescent="0.5">
      <c r="A5" s="2" t="s">
        <v>3</v>
      </c>
    </row>
    <row r="6" spans="1:17" x14ac:dyDescent="0.45">
      <c r="A6" s="4" t="s">
        <v>4</v>
      </c>
      <c r="D6" s="4" t="s">
        <v>5</v>
      </c>
      <c r="G6" s="4" t="s">
        <v>6</v>
      </c>
      <c r="J6" s="4" t="s">
        <v>7</v>
      </c>
      <c r="M6" s="4" t="s">
        <v>10</v>
      </c>
      <c r="P6" s="4" t="s">
        <v>11</v>
      </c>
    </row>
    <row r="7" spans="1:17" x14ac:dyDescent="0.45">
      <c r="B7" s="5">
        <v>-6.0434018536208383</v>
      </c>
      <c r="C7" s="5">
        <v>11.00886048258312</v>
      </c>
      <c r="D7" s="5">
        <v>-1.961219437496813</v>
      </c>
      <c r="E7" s="5">
        <v>-7.8059000000000003</v>
      </c>
      <c r="F7" s="5">
        <v>13.2151</v>
      </c>
      <c r="G7" s="5">
        <v>-2.3210000000000002</v>
      </c>
      <c r="H7" s="5">
        <v>35.463576639352297</v>
      </c>
      <c r="I7" s="5">
        <v>2.162074625903784</v>
      </c>
      <c r="J7" s="4" t="s">
        <v>8</v>
      </c>
      <c r="K7" s="4" t="s">
        <v>9</v>
      </c>
      <c r="M7" s="4" t="s">
        <v>8</v>
      </c>
      <c r="N7" s="4" t="s">
        <v>9</v>
      </c>
      <c r="P7" s="4" t="s">
        <v>8</v>
      </c>
      <c r="Q7" s="4" t="s">
        <v>9</v>
      </c>
    </row>
    <row r="8" spans="1:17" x14ac:dyDescent="0.45">
      <c r="J8" s="5">
        <v>1.5</v>
      </c>
      <c r="K8" s="5">
        <v>3</v>
      </c>
      <c r="M8" s="5">
        <v>2</v>
      </c>
      <c r="N8" s="5">
        <v>2.4516624999999999</v>
      </c>
      <c r="P8" s="5">
        <v>3</v>
      </c>
      <c r="Q8" s="5">
        <v>2.9419949999999999</v>
      </c>
    </row>
    <row r="9" spans="1:17" x14ac:dyDescent="0.45">
      <c r="J9" s="5">
        <v>2.75</v>
      </c>
      <c r="K9" s="5">
        <v>1.5</v>
      </c>
      <c r="M9" s="5">
        <v>2.5</v>
      </c>
      <c r="N9" s="5">
        <v>1.96133</v>
      </c>
      <c r="P9" s="5">
        <v>4</v>
      </c>
      <c r="Q9" s="5">
        <v>2.10842975</v>
      </c>
    </row>
    <row r="10" spans="1:17" x14ac:dyDescent="0.45">
      <c r="J10" s="5">
        <v>3.5</v>
      </c>
      <c r="K10" s="5">
        <v>1.25</v>
      </c>
      <c r="M10" s="5">
        <v>3</v>
      </c>
      <c r="N10" s="5">
        <v>1.3729309999999999</v>
      </c>
      <c r="P10" s="5">
        <v>5</v>
      </c>
      <c r="Q10" s="5">
        <v>1.4709975</v>
      </c>
    </row>
    <row r="11" spans="1:17" x14ac:dyDescent="0.45">
      <c r="J11" s="5">
        <v>4</v>
      </c>
      <c r="K11" s="5">
        <v>0.6</v>
      </c>
      <c r="M11" s="5">
        <v>3.5</v>
      </c>
      <c r="N11" s="5">
        <v>1.0787315</v>
      </c>
      <c r="P11" s="5">
        <v>6</v>
      </c>
      <c r="Q11" s="5">
        <v>0.78453200000000001</v>
      </c>
    </row>
    <row r="12" spans="1:17" x14ac:dyDescent="0.45">
      <c r="M12" s="5">
        <v>4</v>
      </c>
      <c r="N12" s="5">
        <v>0.83356525000000004</v>
      </c>
    </row>
    <row r="15" spans="1:17" ht="15.75" x14ac:dyDescent="0.5">
      <c r="A15" s="2" t="s">
        <v>12</v>
      </c>
      <c r="E15" s="2" t="s">
        <v>25</v>
      </c>
    </row>
    <row r="16" spans="1:17" x14ac:dyDescent="0.45">
      <c r="A16" s="4" t="s">
        <v>13</v>
      </c>
      <c r="B16" s="5"/>
      <c r="E16" s="3" t="s">
        <v>26</v>
      </c>
      <c r="F16" s="5" t="str">
        <f>IF(AND(B21&gt;0, OR(B3="KL 60 (fit)",B3="KL 100")), IF(B3="KL 60 (fit)", 11.0088604825831*11.0088604825831-4*-6.04340185362083*(-1.96121943749681-B21), 13.2151*13.2151-4*-7.8059*(-2.321-B21)), "")</f>
        <v/>
      </c>
    </row>
    <row r="17" spans="1:6" x14ac:dyDescent="0.45">
      <c r="A17" s="4" t="s">
        <v>14</v>
      </c>
      <c r="B17" s="5"/>
      <c r="E17" s="3" t="s">
        <v>27</v>
      </c>
      <c r="F17" s="5" t="str">
        <f>IF(AND(B21&gt;0, OR(B3="KL 60 (fit)",B3="KL 100"), F16&gt;=0), IF(B3="KL 60 (fit)", (-11.0088604825831+SQRT(F16))/(2*-6.04340185362083), (-13.2151+SQRT(F16))/(2*-7.8059)), "")</f>
        <v/>
      </c>
    </row>
    <row r="18" spans="1:6" x14ac:dyDescent="0.45">
      <c r="A18" s="4" t="s">
        <v>15</v>
      </c>
      <c r="B18" s="5"/>
      <c r="E18" s="3" t="s">
        <v>28</v>
      </c>
      <c r="F18" s="5" t="str">
        <f>IF(AND(B21&gt;0, OR(B3="KL 60 (fit)",B3="KL 100"), F16&gt;=0), IF(B3="KL 60 (fit)", (-11.0088604825831-SQRT(F16))/(2*-6.04340185362083), (-13.2151-SQRT(F16))/(2*-7.8059)), "")</f>
        <v/>
      </c>
    </row>
    <row r="19" spans="1:6" x14ac:dyDescent="0.45">
      <c r="E19" s="3" t="s">
        <v>29</v>
      </c>
      <c r="F19" s="5" t="e">
        <f>IF(F17&lt;&gt;0,1/F17,"")</f>
        <v>#VALUE!</v>
      </c>
    </row>
    <row r="20" spans="1:6" x14ac:dyDescent="0.45">
      <c r="A20" s="4" t="s">
        <v>16</v>
      </c>
      <c r="B20" s="5" t="str">
        <f>IF(B18&gt;0,B18*0.00980665,"")</f>
        <v/>
      </c>
      <c r="E20" s="3" t="s">
        <v>30</v>
      </c>
      <c r="F20" s="5" t="e">
        <f>IF(F18&lt;&gt;0,1/F18,"")</f>
        <v>#VALUE!</v>
      </c>
    </row>
    <row r="21" spans="1:6" x14ac:dyDescent="0.45">
      <c r="A21" s="4" t="s">
        <v>17</v>
      </c>
      <c r="B21" s="5" t="str">
        <f>IF(B18&gt;0,B20,IF(B17&gt;0,B17,""))</f>
        <v/>
      </c>
      <c r="E21" s="3" t="s">
        <v>31</v>
      </c>
      <c r="F21" s="5" t="str">
        <f>IF(AND(B21&gt;0,B3="WSL 105"), (35.4635766393523/B21)^(1/2.16207462590378), "")</f>
        <v/>
      </c>
    </row>
    <row r="22" spans="1:6" x14ac:dyDescent="0.45">
      <c r="E22" s="3" t="s">
        <v>32</v>
      </c>
      <c r="F22" s="5" t="str">
        <f>IF(AND(B21&gt;0,B3="GD finish 2–4 m"),IF(AND(B21&lt;=N8,B21&gt;=N9), M8 + (B21-N8)*(M9-M8)/(N9-N8),IF(AND(B21&lt;N9,B21&gt;=N10), M9 + (B21-N9)*(M10-M9)/(N10-N9),IF(AND(B21&lt;N10,B21&gt;=N11), M10 + (B21-N10)*(M11-M10)/(N11-N10),IF(AND(B21&lt;N11,B21&gt;=N12), M11 + (B21-N11)*(M12-M11)/(N12-N11), "")))),"")</f>
        <v/>
      </c>
    </row>
    <row r="23" spans="1:6" ht="15.75" x14ac:dyDescent="0.5">
      <c r="A23" s="2" t="s">
        <v>18</v>
      </c>
      <c r="E23" s="3" t="s">
        <v>33</v>
      </c>
      <c r="F23" s="5">
        <v>0</v>
      </c>
    </row>
    <row r="24" spans="1:6" x14ac:dyDescent="0.45">
      <c r="A24" s="4" t="s">
        <v>19</v>
      </c>
      <c r="B24" s="5">
        <f>IF(B3="WSL 105",3,IF(B3="GD finish 2–4 m",2,IF(B3="EL 600 (3–6 m)",3,IF(B3="KL 60 (anchored)",1.5,1.5))))</f>
        <v>1.5</v>
      </c>
      <c r="E24" s="3" t="s">
        <v>34</v>
      </c>
      <c r="F24" s="5">
        <v>0</v>
      </c>
    </row>
    <row r="25" spans="1:6" x14ac:dyDescent="0.45">
      <c r="A25" s="4" t="s">
        <v>20</v>
      </c>
      <c r="B25" s="5">
        <f>IF(B3="WSL 105",9,IF(B3="GD finish 2–4 m",4,IF(B3="EL 600 (3–6 m)",6,IF(B3="KL 60 (anchored)",4,4))))</f>
        <v>4</v>
      </c>
    </row>
    <row r="27" spans="1:6" ht="15.75" x14ac:dyDescent="0.5">
      <c r="A27" s="2" t="s">
        <v>21</v>
      </c>
    </row>
    <row r="28" spans="1:6" x14ac:dyDescent="0.45">
      <c r="A28" s="4" t="s">
        <v>22</v>
      </c>
      <c r="B28" s="5" t="str">
        <f>IF(B16&gt;0,IF(B3="KL 60 (anchored)",IF(AND(B16&gt;=J8,B16&lt;=J9), K8 + (K9-K8)*(B16-J8)/(J9-J8),IF(AND(B16&gt;J9,B16&lt;=J10), K9 + (K10-K9)*(B16-J9)/(J10-J9),IF(AND(B16&gt;J10,B16&lt;=J11), K10 + (K11-K10)*(B16-J10)/(J11-J10), ""))),IF(B3="KL 60 (fit)", -6.04340185362083/(B16^2)+11.0088604825831/B16+-1.96121943749681,IF(B3="KL 100", -7.8059/(B16^2)+13.2151/B16+-2.321,IF(B3="WSL 105", 35.4635766393523*(B16^(-2.16207462590378)), IF(B3="GD finish 2–4 m",IF(AND(B16&gt;=M8,B16&lt;=M9), N8 + (N9-N8)*(B16-M8)/(M9-M8),IF(AND(B16&gt;M9,B16&lt;=M10), N9 + (N10-N9)*(B16-M9)/(M10-M9),IF(AND(B16&gt;M10,B16&lt;=M11), N10 + (N11-N10)*(B16-M10)/(M11-M10),IF(AND(B16&gt;M11,B16&lt;=M12), N11 + (N12-N11)*(B16-M11)/(M12-M11), "")))),IF(AND(B16&gt;=P8,B16&lt;=P9), Q8 + (Q9-Q8)*(B16-P8)/(P9-P8),IF(AND(B16&gt;P9,B16&lt;=P10), Q9 + (Q10-Q9)*(B16-P9)/(P10-P9),IF(AND(B16&gt;P10,B16&lt;=P11), Q10 + (Q11-Q10)*(B16-P10)/(P11-P10), "")))))))),"")</f>
        <v/>
      </c>
    </row>
    <row r="29" spans="1:6" s="6" customFormat="1" x14ac:dyDescent="0.45">
      <c r="A29" s="4" t="s">
        <v>23</v>
      </c>
      <c r="B29" s="5" t="e">
        <f>IF(B21&gt;0,IF(B3="WSL 105", IF(F21="", "", IF(F21&lt;B24,"", IF(F21&gt;B25,B25,F21))),IF(B3="GD finish 2–4 m", IF(F22="", "", IF(F22&lt;B24,"", IF(F22&gt;B25,B25,F22))),IF(B3="EL 600 (3–6 m)", IF(F23="", "", IF(F23&lt;B24,"", IF(F23&gt;B25,B25,F23))),IF(B3="KL 60 (anchored)", IF(F24="", "", IF(F24&lt;B24,"", IF(F24&gt;B25,B25,F24))),IF(OR(AND(F19&gt;=B24,F19&lt;=B25),AND(F20&gt;=B24,F20&lt;=B25)), IF(AND(F19&gt;=B24,F19&lt;=B25),F19,F20), IF(OR(F19&gt;B25,F20&gt;B25),B25,"")))))), "" )</f>
        <v>#VALUE!</v>
      </c>
    </row>
    <row r="30" spans="1:6" x14ac:dyDescent="0.45">
      <c r="A30" s="4" t="s">
        <v>24</v>
      </c>
      <c r="B30" t="str">
        <f>IF(AND(B16="",B17="",B18=""),"Enter L or a load (kg/m or kN/m)",IF(AND(B16&gt;0,OR(B16&lt;B24,B16&gt;B25)),"L out of active range [Lmin,Lmax]",IF(AND(B21&gt;0,B29=""),"No solution within active range (too small L required)",IF(B29=B25,"Computed L exceeds Lmax → clamped to Lmax","OK"))))</f>
        <v>Enter L or a load (kg/m or kN/m)</v>
      </c>
    </row>
    <row r="33" spans="1:5" ht="15.75" x14ac:dyDescent="0.5">
      <c r="A33" s="2" t="s">
        <v>40</v>
      </c>
      <c r="D33" s="3" t="s">
        <v>43</v>
      </c>
    </row>
    <row r="34" spans="1:5" x14ac:dyDescent="0.45">
      <c r="A34" s="4" t="s">
        <v>41</v>
      </c>
      <c r="B34" s="5" t="e">
        <f>IF(B16&gt;0,B16,IF(B29&gt;0,B29,""))</f>
        <v>#VALUE!</v>
      </c>
      <c r="D34" t="e">
        <f>B34</f>
        <v>#VALUE!</v>
      </c>
      <c r="E34">
        <v>0</v>
      </c>
    </row>
    <row r="35" spans="1:5" x14ac:dyDescent="0.45">
      <c r="A35" s="4" t="s">
        <v>42</v>
      </c>
      <c r="B35" s="5" t="str">
        <f>IF(B16&gt;0,B28,IF(B21&gt;0,B21,""))</f>
        <v/>
      </c>
      <c r="D35" t="e">
        <f>B34</f>
        <v>#VALUE!</v>
      </c>
      <c r="E35" t="str">
        <f>B35</f>
        <v/>
      </c>
    </row>
    <row r="36" spans="1:5" x14ac:dyDescent="0.45">
      <c r="D36">
        <f>B24</f>
        <v>1.5</v>
      </c>
      <c r="E36" t="str">
        <f>B35</f>
        <v/>
      </c>
    </row>
  </sheetData>
  <dataValidations count="1">
    <dataValidation type="list" allowBlank="1" showInputMessage="1" showErrorMessage="1" sqref="B3" xr:uid="{00000000-0002-0000-0000-000000000000}">
      <formula1>"KL 60 (fit),KL 60 (anchored),KL 100,WSL 105,GD finish 2–4 m,EL 600 (3–6 m)"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workbookViewId="0"/>
  </sheetViews>
  <sheetFormatPr defaultRowHeight="14.25" x14ac:dyDescent="0.45"/>
  <cols>
    <col min="1" max="2" width="16.73046875" customWidth="1"/>
  </cols>
  <sheetData>
    <row r="1" spans="1:5" x14ac:dyDescent="0.45">
      <c r="A1" s="4" t="s">
        <v>35</v>
      </c>
      <c r="B1" s="4" t="s">
        <v>36</v>
      </c>
      <c r="D1" s="3" t="s">
        <v>37</v>
      </c>
      <c r="E1">
        <f>Calculator!B24</f>
        <v>1.5</v>
      </c>
    </row>
    <row r="2" spans="1:5" x14ac:dyDescent="0.45">
      <c r="A2" s="5">
        <f>E1 + 0*E3</f>
        <v>1.5</v>
      </c>
      <c r="B2" s="5">
        <v>0</v>
      </c>
      <c r="D2" s="3" t="s">
        <v>38</v>
      </c>
      <c r="E2">
        <f>Calculator!B25</f>
        <v>4</v>
      </c>
    </row>
    <row r="3" spans="1:5" x14ac:dyDescent="0.45">
      <c r="A3" s="5">
        <f>E1 + 1*E3</f>
        <v>1.5083333333333333</v>
      </c>
      <c r="B3" s="5">
        <v>0</v>
      </c>
      <c r="D3" s="3" t="s">
        <v>39</v>
      </c>
      <c r="E3">
        <f>(E2-E1)/300</f>
        <v>8.3333333333333332E-3</v>
      </c>
    </row>
    <row r="4" spans="1:5" x14ac:dyDescent="0.45">
      <c r="A4" s="5">
        <f>E1 + 2*E3</f>
        <v>1.5166666666666666</v>
      </c>
      <c r="B4" s="5">
        <v>0</v>
      </c>
    </row>
    <row r="5" spans="1:5" x14ac:dyDescent="0.45">
      <c r="A5" s="5">
        <f>E1 + 3*E3</f>
        <v>1.5249999999999999</v>
      </c>
      <c r="B5" s="5">
        <v>0</v>
      </c>
    </row>
    <row r="6" spans="1:5" x14ac:dyDescent="0.45">
      <c r="A6" s="5">
        <f>E1 + 4*E3</f>
        <v>1.5333333333333334</v>
      </c>
      <c r="B6" s="5">
        <v>0</v>
      </c>
    </row>
    <row r="7" spans="1:5" x14ac:dyDescent="0.45">
      <c r="A7" s="5">
        <f>E1 + 5*E3</f>
        <v>1.5416666666666667</v>
      </c>
      <c r="B7" s="5">
        <v>0</v>
      </c>
    </row>
    <row r="8" spans="1:5" x14ac:dyDescent="0.45">
      <c r="A8" s="5">
        <f>E1 + 6*E3</f>
        <v>1.55</v>
      </c>
      <c r="B8" s="5">
        <v>0</v>
      </c>
    </row>
    <row r="9" spans="1:5" x14ac:dyDescent="0.45">
      <c r="A9" s="5">
        <f>E1 + 7*E3</f>
        <v>1.5583333333333333</v>
      </c>
      <c r="B9" s="5">
        <v>0</v>
      </c>
    </row>
    <row r="10" spans="1:5" x14ac:dyDescent="0.45">
      <c r="A10" s="5">
        <f>E1 + 8*E3</f>
        <v>1.5666666666666667</v>
      </c>
      <c r="B10" s="5">
        <v>0</v>
      </c>
    </row>
    <row r="11" spans="1:5" x14ac:dyDescent="0.45">
      <c r="A11" s="5">
        <f>E1 + 9*E3</f>
        <v>1.575</v>
      </c>
      <c r="B11" s="5">
        <v>0</v>
      </c>
    </row>
    <row r="12" spans="1:5" x14ac:dyDescent="0.45">
      <c r="A12" s="5">
        <f>E1 + 10*E3</f>
        <v>1.5833333333333333</v>
      </c>
      <c r="B12" s="5">
        <v>0</v>
      </c>
    </row>
    <row r="13" spans="1:5" x14ac:dyDescent="0.45">
      <c r="A13" s="5">
        <f>E1 + 11*E3</f>
        <v>1.5916666666666666</v>
      </c>
      <c r="B13" s="5">
        <v>0</v>
      </c>
    </row>
    <row r="14" spans="1:5" x14ac:dyDescent="0.45">
      <c r="A14" s="5">
        <f>E1 + 12*E3</f>
        <v>1.6</v>
      </c>
      <c r="B14" s="5">
        <v>0</v>
      </c>
    </row>
    <row r="15" spans="1:5" x14ac:dyDescent="0.45">
      <c r="A15" s="5">
        <f>E1 + 13*E3</f>
        <v>1.6083333333333334</v>
      </c>
      <c r="B15" s="5">
        <v>0</v>
      </c>
    </row>
    <row r="16" spans="1:5" x14ac:dyDescent="0.45">
      <c r="A16" s="5">
        <f>E1 + 14*E3</f>
        <v>1.6166666666666667</v>
      </c>
      <c r="B16" s="5">
        <v>0</v>
      </c>
    </row>
    <row r="17" spans="1:2" x14ac:dyDescent="0.45">
      <c r="A17" s="5">
        <f>E1 + 15*E3</f>
        <v>1.625</v>
      </c>
      <c r="B17" s="5">
        <v>0</v>
      </c>
    </row>
    <row r="18" spans="1:2" x14ac:dyDescent="0.45">
      <c r="A18" s="5">
        <f>E1 + 16*E3</f>
        <v>1.6333333333333333</v>
      </c>
      <c r="B18" s="5">
        <v>0</v>
      </c>
    </row>
    <row r="19" spans="1:2" x14ac:dyDescent="0.45">
      <c r="A19" s="5">
        <f>E1 + 17*E3</f>
        <v>1.6416666666666666</v>
      </c>
      <c r="B19" s="5">
        <v>0</v>
      </c>
    </row>
    <row r="20" spans="1:2" x14ac:dyDescent="0.45">
      <c r="A20" s="5">
        <f>E1 + 18*E3</f>
        <v>1.65</v>
      </c>
      <c r="B20" s="5">
        <v>0</v>
      </c>
    </row>
    <row r="21" spans="1:2" x14ac:dyDescent="0.45">
      <c r="A21" s="5">
        <f>E1 + 19*E3</f>
        <v>1.6583333333333332</v>
      </c>
      <c r="B21" s="5">
        <v>0</v>
      </c>
    </row>
    <row r="22" spans="1:2" x14ac:dyDescent="0.45">
      <c r="A22" s="5">
        <f>E1 + 20*E3</f>
        <v>1.6666666666666667</v>
      </c>
      <c r="B22" s="5">
        <v>0</v>
      </c>
    </row>
    <row r="23" spans="1:2" x14ac:dyDescent="0.45">
      <c r="A23" s="5">
        <f>E1 + 21*E3</f>
        <v>1.675</v>
      </c>
      <c r="B23" s="5">
        <v>0</v>
      </c>
    </row>
    <row r="24" spans="1:2" x14ac:dyDescent="0.45">
      <c r="A24" s="5">
        <f>E1 + 22*E3</f>
        <v>1.6833333333333333</v>
      </c>
      <c r="B24" s="5">
        <v>0</v>
      </c>
    </row>
    <row r="25" spans="1:2" x14ac:dyDescent="0.45">
      <c r="A25" s="5">
        <f>E1 + 23*E3</f>
        <v>1.6916666666666667</v>
      </c>
      <c r="B25" s="5">
        <v>0</v>
      </c>
    </row>
    <row r="26" spans="1:2" x14ac:dyDescent="0.45">
      <c r="A26" s="5">
        <f>E1 + 24*E3</f>
        <v>1.7</v>
      </c>
      <c r="B26" s="5">
        <v>0</v>
      </c>
    </row>
    <row r="27" spans="1:2" x14ac:dyDescent="0.45">
      <c r="A27" s="5">
        <f>E1 + 25*E3</f>
        <v>1.7083333333333333</v>
      </c>
      <c r="B27" s="5">
        <v>0</v>
      </c>
    </row>
    <row r="28" spans="1:2" x14ac:dyDescent="0.45">
      <c r="A28" s="5">
        <f>E1 + 26*E3</f>
        <v>1.7166666666666668</v>
      </c>
      <c r="B28" s="5">
        <v>0</v>
      </c>
    </row>
    <row r="29" spans="1:2" x14ac:dyDescent="0.45">
      <c r="A29" s="5">
        <f>E1 + 27*E3</f>
        <v>1.7250000000000001</v>
      </c>
      <c r="B29" s="5">
        <v>0</v>
      </c>
    </row>
    <row r="30" spans="1:2" x14ac:dyDescent="0.45">
      <c r="A30" s="5">
        <f>E1 + 28*E3</f>
        <v>1.7333333333333334</v>
      </c>
      <c r="B30" s="5">
        <v>0</v>
      </c>
    </row>
    <row r="31" spans="1:2" x14ac:dyDescent="0.45">
      <c r="A31" s="5">
        <f>E1 + 29*E3</f>
        <v>1.7416666666666667</v>
      </c>
      <c r="B31" s="5">
        <v>0</v>
      </c>
    </row>
    <row r="32" spans="1:2" x14ac:dyDescent="0.45">
      <c r="A32" s="5">
        <f>E1 + 30*E3</f>
        <v>1.75</v>
      </c>
      <c r="B32" s="5">
        <v>0</v>
      </c>
    </row>
    <row r="33" spans="1:2" x14ac:dyDescent="0.45">
      <c r="A33" s="5">
        <f>E1 + 31*E3</f>
        <v>1.7583333333333333</v>
      </c>
      <c r="B33" s="5">
        <v>0</v>
      </c>
    </row>
    <row r="34" spans="1:2" x14ac:dyDescent="0.45">
      <c r="A34" s="5">
        <f>E1 + 32*E3</f>
        <v>1.7666666666666666</v>
      </c>
      <c r="B34" s="5">
        <v>0</v>
      </c>
    </row>
    <row r="35" spans="1:2" x14ac:dyDescent="0.45">
      <c r="A35" s="5">
        <f>E1 + 33*E3</f>
        <v>1.7749999999999999</v>
      </c>
      <c r="B35" s="5">
        <v>0</v>
      </c>
    </row>
    <row r="36" spans="1:2" x14ac:dyDescent="0.45">
      <c r="A36" s="5">
        <f>E1 + 34*E3</f>
        <v>1.7833333333333332</v>
      </c>
      <c r="B36" s="5">
        <v>0</v>
      </c>
    </row>
    <row r="37" spans="1:2" x14ac:dyDescent="0.45">
      <c r="A37" s="5">
        <f>E1 + 35*E3</f>
        <v>1.7916666666666667</v>
      </c>
      <c r="B37" s="5">
        <v>0</v>
      </c>
    </row>
    <row r="38" spans="1:2" x14ac:dyDescent="0.45">
      <c r="A38" s="5">
        <f>E1 + 36*E3</f>
        <v>1.8</v>
      </c>
      <c r="B38" s="5">
        <v>0</v>
      </c>
    </row>
    <row r="39" spans="1:2" x14ac:dyDescent="0.45">
      <c r="A39" s="5">
        <f>E1 + 37*E3</f>
        <v>1.8083333333333333</v>
      </c>
      <c r="B39" s="5">
        <v>0</v>
      </c>
    </row>
    <row r="40" spans="1:2" x14ac:dyDescent="0.45">
      <c r="A40" s="5">
        <f>E1 + 38*E3</f>
        <v>1.8166666666666667</v>
      </c>
      <c r="B40" s="5">
        <v>0</v>
      </c>
    </row>
    <row r="41" spans="1:2" x14ac:dyDescent="0.45">
      <c r="A41" s="5">
        <f>E1 + 39*E3</f>
        <v>1.825</v>
      </c>
      <c r="B41" s="5">
        <v>0</v>
      </c>
    </row>
    <row r="42" spans="1:2" x14ac:dyDescent="0.45">
      <c r="A42" s="5">
        <f>E1 + 40*E3</f>
        <v>1.8333333333333333</v>
      </c>
      <c r="B42" s="5">
        <v>0</v>
      </c>
    </row>
    <row r="43" spans="1:2" x14ac:dyDescent="0.45">
      <c r="A43" s="5">
        <f>E1 + 41*E3</f>
        <v>1.8416666666666668</v>
      </c>
      <c r="B43" s="5">
        <v>0</v>
      </c>
    </row>
    <row r="44" spans="1:2" x14ac:dyDescent="0.45">
      <c r="A44" s="5">
        <f>E1 + 42*E3</f>
        <v>1.85</v>
      </c>
      <c r="B44" s="5">
        <v>0</v>
      </c>
    </row>
    <row r="45" spans="1:2" x14ac:dyDescent="0.45">
      <c r="A45" s="5">
        <f>E1 + 43*E3</f>
        <v>1.8583333333333334</v>
      </c>
      <c r="B45" s="5">
        <v>0</v>
      </c>
    </row>
    <row r="46" spans="1:2" x14ac:dyDescent="0.45">
      <c r="A46" s="5">
        <f>E1 + 44*E3</f>
        <v>1.8666666666666667</v>
      </c>
      <c r="B46" s="5">
        <v>0</v>
      </c>
    </row>
    <row r="47" spans="1:2" x14ac:dyDescent="0.45">
      <c r="A47" s="5">
        <f>E1 + 45*E3</f>
        <v>1.875</v>
      </c>
      <c r="B47" s="5">
        <v>0</v>
      </c>
    </row>
    <row r="48" spans="1:2" x14ac:dyDescent="0.45">
      <c r="A48" s="5">
        <f>E1 + 46*E3</f>
        <v>1.8833333333333333</v>
      </c>
      <c r="B48" s="5">
        <v>0</v>
      </c>
    </row>
    <row r="49" spans="1:2" x14ac:dyDescent="0.45">
      <c r="A49" s="5">
        <f>E1 + 47*E3</f>
        <v>1.8916666666666666</v>
      </c>
      <c r="B49" s="5">
        <v>0</v>
      </c>
    </row>
    <row r="50" spans="1:2" x14ac:dyDescent="0.45">
      <c r="A50" s="5">
        <f>E1 + 48*E3</f>
        <v>1.9</v>
      </c>
      <c r="B50" s="5">
        <v>0</v>
      </c>
    </row>
    <row r="51" spans="1:2" x14ac:dyDescent="0.45">
      <c r="A51" s="5">
        <f>E1 + 49*E3</f>
        <v>1.9083333333333332</v>
      </c>
      <c r="B51" s="5">
        <v>0</v>
      </c>
    </row>
    <row r="52" spans="1:2" x14ac:dyDescent="0.45">
      <c r="A52" s="5">
        <f>E1 + 50*E3</f>
        <v>1.9166666666666667</v>
      </c>
      <c r="B52" s="5">
        <v>0</v>
      </c>
    </row>
    <row r="53" spans="1:2" x14ac:dyDescent="0.45">
      <c r="A53" s="5">
        <f>E1 + 51*E3</f>
        <v>1.925</v>
      </c>
      <c r="B53" s="5">
        <v>0</v>
      </c>
    </row>
    <row r="54" spans="1:2" x14ac:dyDescent="0.45">
      <c r="A54" s="5">
        <f>E1 + 52*E3</f>
        <v>1.9333333333333333</v>
      </c>
      <c r="B54" s="5">
        <v>0</v>
      </c>
    </row>
    <row r="55" spans="1:2" x14ac:dyDescent="0.45">
      <c r="A55" s="5">
        <f>E1 + 53*E3</f>
        <v>1.9416666666666667</v>
      </c>
      <c r="B55" s="5">
        <v>0</v>
      </c>
    </row>
    <row r="56" spans="1:2" x14ac:dyDescent="0.45">
      <c r="A56" s="5">
        <f>E1 + 54*E3</f>
        <v>1.95</v>
      </c>
      <c r="B56" s="5">
        <v>0</v>
      </c>
    </row>
    <row r="57" spans="1:2" x14ac:dyDescent="0.45">
      <c r="A57" s="5">
        <f>E1 + 55*E3</f>
        <v>1.9583333333333333</v>
      </c>
      <c r="B57" s="5">
        <v>0</v>
      </c>
    </row>
    <row r="58" spans="1:2" x14ac:dyDescent="0.45">
      <c r="A58" s="5">
        <f>E1 + 56*E3</f>
        <v>1.9666666666666668</v>
      </c>
      <c r="B58" s="5">
        <v>0</v>
      </c>
    </row>
    <row r="59" spans="1:2" x14ac:dyDescent="0.45">
      <c r="A59" s="5">
        <f>E1 + 57*E3</f>
        <v>1.9750000000000001</v>
      </c>
      <c r="B59" s="5">
        <v>0</v>
      </c>
    </row>
    <row r="60" spans="1:2" x14ac:dyDescent="0.45">
      <c r="A60" s="5">
        <f>E1 + 58*E3</f>
        <v>1.9833333333333334</v>
      </c>
      <c r="B60" s="5">
        <v>0</v>
      </c>
    </row>
    <row r="61" spans="1:2" x14ac:dyDescent="0.45">
      <c r="A61" s="5">
        <f>E1 + 59*E3</f>
        <v>1.9916666666666667</v>
      </c>
      <c r="B61" s="5">
        <v>0</v>
      </c>
    </row>
    <row r="62" spans="1:2" x14ac:dyDescent="0.45">
      <c r="A62" s="5">
        <f>E1 + 60*E3</f>
        <v>2</v>
      </c>
      <c r="B62" s="5">
        <v>0</v>
      </c>
    </row>
    <row r="63" spans="1:2" x14ac:dyDescent="0.45">
      <c r="A63" s="5">
        <f>E1 + 61*E3</f>
        <v>2.0083333333333333</v>
      </c>
      <c r="B63" s="5">
        <v>0</v>
      </c>
    </row>
    <row r="64" spans="1:2" x14ac:dyDescent="0.45">
      <c r="A64" s="5">
        <f>E1 + 62*E3</f>
        <v>2.0166666666666666</v>
      </c>
      <c r="B64" s="5">
        <v>0</v>
      </c>
    </row>
    <row r="65" spans="1:2" x14ac:dyDescent="0.45">
      <c r="A65" s="5">
        <f>E1 + 63*E3</f>
        <v>2.0249999999999999</v>
      </c>
      <c r="B65" s="5">
        <v>0</v>
      </c>
    </row>
    <row r="66" spans="1:2" x14ac:dyDescent="0.45">
      <c r="A66" s="5">
        <f>E1 + 64*E3</f>
        <v>2.0333333333333332</v>
      </c>
      <c r="B66" s="5">
        <v>0</v>
      </c>
    </row>
    <row r="67" spans="1:2" x14ac:dyDescent="0.45">
      <c r="A67" s="5">
        <f>E1 + 65*E3</f>
        <v>2.0416666666666665</v>
      </c>
      <c r="B67" s="5">
        <v>0</v>
      </c>
    </row>
    <row r="68" spans="1:2" x14ac:dyDescent="0.45">
      <c r="A68" s="5">
        <f>E1 + 66*E3</f>
        <v>2.0499999999999998</v>
      </c>
      <c r="B68" s="5">
        <v>0</v>
      </c>
    </row>
    <row r="69" spans="1:2" x14ac:dyDescent="0.45">
      <c r="A69" s="5">
        <f>E1 + 67*E3</f>
        <v>2.0583333333333336</v>
      </c>
      <c r="B69" s="5">
        <v>0</v>
      </c>
    </row>
    <row r="70" spans="1:2" x14ac:dyDescent="0.45">
      <c r="A70" s="5">
        <f>E1 + 68*E3</f>
        <v>2.0666666666666664</v>
      </c>
      <c r="B70" s="5">
        <v>0</v>
      </c>
    </row>
    <row r="71" spans="1:2" x14ac:dyDescent="0.45">
      <c r="A71" s="5">
        <f>E1 + 69*E3</f>
        <v>2.0750000000000002</v>
      </c>
      <c r="B71" s="5">
        <v>0</v>
      </c>
    </row>
    <row r="72" spans="1:2" x14ac:dyDescent="0.45">
      <c r="A72" s="5">
        <f>E1 + 70*E3</f>
        <v>2.0833333333333335</v>
      </c>
      <c r="B72" s="5">
        <v>0</v>
      </c>
    </row>
    <row r="73" spans="1:2" x14ac:dyDescent="0.45">
      <c r="A73" s="5">
        <f>E1 + 71*E3</f>
        <v>2.0916666666666668</v>
      </c>
      <c r="B73" s="5">
        <v>0</v>
      </c>
    </row>
    <row r="74" spans="1:2" x14ac:dyDescent="0.45">
      <c r="A74" s="5">
        <f>E1 + 72*E3</f>
        <v>2.1</v>
      </c>
      <c r="B74" s="5">
        <v>0</v>
      </c>
    </row>
    <row r="75" spans="1:2" x14ac:dyDescent="0.45">
      <c r="A75" s="5">
        <f>E1 + 73*E3</f>
        <v>2.1083333333333334</v>
      </c>
      <c r="B75" s="5">
        <v>0</v>
      </c>
    </row>
    <row r="76" spans="1:2" x14ac:dyDescent="0.45">
      <c r="A76" s="5">
        <f>E1 + 74*E3</f>
        <v>2.1166666666666667</v>
      </c>
      <c r="B76" s="5">
        <v>0</v>
      </c>
    </row>
    <row r="77" spans="1:2" x14ac:dyDescent="0.45">
      <c r="A77" s="5">
        <f>E1 + 75*E3</f>
        <v>2.125</v>
      </c>
      <c r="B77" s="5">
        <v>0</v>
      </c>
    </row>
    <row r="78" spans="1:2" x14ac:dyDescent="0.45">
      <c r="A78" s="5">
        <f>E1 + 76*E3</f>
        <v>2.1333333333333333</v>
      </c>
      <c r="B78" s="5">
        <v>0</v>
      </c>
    </row>
    <row r="79" spans="1:2" x14ac:dyDescent="0.45">
      <c r="A79" s="5">
        <f>E1 + 77*E3</f>
        <v>2.1416666666666666</v>
      </c>
      <c r="B79" s="5">
        <v>0</v>
      </c>
    </row>
    <row r="80" spans="1:2" x14ac:dyDescent="0.45">
      <c r="A80" s="5">
        <f>E1 + 78*E3</f>
        <v>2.15</v>
      </c>
      <c r="B80" s="5">
        <v>0</v>
      </c>
    </row>
    <row r="81" spans="1:2" x14ac:dyDescent="0.45">
      <c r="A81" s="5">
        <f>E1 + 79*E3</f>
        <v>2.1583333333333332</v>
      </c>
      <c r="B81" s="5">
        <v>0</v>
      </c>
    </row>
    <row r="82" spans="1:2" x14ac:dyDescent="0.45">
      <c r="A82" s="5">
        <f>E1 + 80*E3</f>
        <v>2.1666666666666665</v>
      </c>
      <c r="B82" s="5">
        <v>0</v>
      </c>
    </row>
    <row r="83" spans="1:2" x14ac:dyDescent="0.45">
      <c r="A83" s="5">
        <f>E1 + 81*E3</f>
        <v>2.1749999999999998</v>
      </c>
      <c r="B83" s="5">
        <v>0</v>
      </c>
    </row>
    <row r="84" spans="1:2" x14ac:dyDescent="0.45">
      <c r="A84" s="5">
        <f>E1 + 82*E3</f>
        <v>2.1833333333333336</v>
      </c>
      <c r="B84" s="5">
        <v>0</v>
      </c>
    </row>
    <row r="85" spans="1:2" x14ac:dyDescent="0.45">
      <c r="A85" s="5">
        <f>E1 + 83*E3</f>
        <v>2.1916666666666664</v>
      </c>
      <c r="B85" s="5">
        <v>0</v>
      </c>
    </row>
    <row r="86" spans="1:2" x14ac:dyDescent="0.45">
      <c r="A86" s="5">
        <f>E1 + 84*E3</f>
        <v>2.2000000000000002</v>
      </c>
      <c r="B86" s="5">
        <v>0</v>
      </c>
    </row>
    <row r="87" spans="1:2" x14ac:dyDescent="0.45">
      <c r="A87" s="5">
        <f>E1 + 85*E3</f>
        <v>2.2083333333333335</v>
      </c>
      <c r="B87" s="5">
        <v>0</v>
      </c>
    </row>
    <row r="88" spans="1:2" x14ac:dyDescent="0.45">
      <c r="A88" s="5">
        <f>E1 + 86*E3</f>
        <v>2.2166666666666668</v>
      </c>
      <c r="B88" s="5">
        <v>0</v>
      </c>
    </row>
    <row r="89" spans="1:2" x14ac:dyDescent="0.45">
      <c r="A89" s="5">
        <f>E1 + 87*E3</f>
        <v>2.2250000000000001</v>
      </c>
      <c r="B89" s="5">
        <v>0</v>
      </c>
    </row>
    <row r="90" spans="1:2" x14ac:dyDescent="0.45">
      <c r="A90" s="5">
        <f>E1 + 88*E3</f>
        <v>2.2333333333333334</v>
      </c>
      <c r="B90" s="5">
        <v>0</v>
      </c>
    </row>
    <row r="91" spans="1:2" x14ac:dyDescent="0.45">
      <c r="A91" s="5">
        <f>E1 + 89*E3</f>
        <v>2.2416666666666667</v>
      </c>
      <c r="B91" s="5">
        <v>0</v>
      </c>
    </row>
    <row r="92" spans="1:2" x14ac:dyDescent="0.45">
      <c r="A92" s="5">
        <f>E1 + 90*E3</f>
        <v>2.25</v>
      </c>
      <c r="B92" s="5">
        <v>0</v>
      </c>
    </row>
    <row r="93" spans="1:2" x14ac:dyDescent="0.45">
      <c r="A93" s="5">
        <f>E1 + 91*E3</f>
        <v>2.2583333333333333</v>
      </c>
      <c r="B93" s="5">
        <v>0</v>
      </c>
    </row>
    <row r="94" spans="1:2" x14ac:dyDescent="0.45">
      <c r="A94" s="5">
        <f>E1 + 92*E3</f>
        <v>2.2666666666666666</v>
      </c>
      <c r="B94" s="5">
        <v>0</v>
      </c>
    </row>
    <row r="95" spans="1:2" x14ac:dyDescent="0.45">
      <c r="A95" s="5">
        <f>E1 + 93*E3</f>
        <v>2.2749999999999999</v>
      </c>
      <c r="B95" s="5">
        <v>0</v>
      </c>
    </row>
    <row r="96" spans="1:2" x14ac:dyDescent="0.45">
      <c r="A96" s="5">
        <f>E1 + 94*E3</f>
        <v>2.2833333333333332</v>
      </c>
      <c r="B96" s="5">
        <v>0</v>
      </c>
    </row>
    <row r="97" spans="1:2" x14ac:dyDescent="0.45">
      <c r="A97" s="5">
        <f>E1 + 95*E3</f>
        <v>2.2916666666666665</v>
      </c>
      <c r="B97" s="5">
        <v>0</v>
      </c>
    </row>
    <row r="98" spans="1:2" x14ac:dyDescent="0.45">
      <c r="A98" s="5">
        <f>E1 + 96*E3</f>
        <v>2.2999999999999998</v>
      </c>
      <c r="B98" s="5">
        <v>0</v>
      </c>
    </row>
    <row r="99" spans="1:2" x14ac:dyDescent="0.45">
      <c r="A99" s="5">
        <f>E1 + 97*E3</f>
        <v>2.3083333333333336</v>
      </c>
      <c r="B99" s="5">
        <v>0</v>
      </c>
    </row>
    <row r="100" spans="1:2" x14ac:dyDescent="0.45">
      <c r="A100" s="5">
        <f>E1 + 98*E3</f>
        <v>2.3166666666666664</v>
      </c>
      <c r="B100" s="5">
        <v>0</v>
      </c>
    </row>
    <row r="101" spans="1:2" x14ac:dyDescent="0.45">
      <c r="A101" s="5">
        <f>E1 + 99*E3</f>
        <v>2.3250000000000002</v>
      </c>
      <c r="B101" s="5">
        <v>0</v>
      </c>
    </row>
    <row r="102" spans="1:2" x14ac:dyDescent="0.45">
      <c r="A102" s="5">
        <f>E1 + 100*E3</f>
        <v>2.3333333333333335</v>
      </c>
      <c r="B102" s="5">
        <v>0</v>
      </c>
    </row>
    <row r="103" spans="1:2" x14ac:dyDescent="0.45">
      <c r="A103" s="5">
        <f>E1 + 101*E3</f>
        <v>2.3416666666666668</v>
      </c>
      <c r="B103" s="5">
        <v>0</v>
      </c>
    </row>
    <row r="104" spans="1:2" x14ac:dyDescent="0.45">
      <c r="A104" s="5">
        <f>E1 + 102*E3</f>
        <v>2.35</v>
      </c>
      <c r="B104" s="5">
        <v>0</v>
      </c>
    </row>
    <row r="105" spans="1:2" x14ac:dyDescent="0.45">
      <c r="A105" s="5">
        <f>E1 + 103*E3</f>
        <v>2.3583333333333334</v>
      </c>
      <c r="B105" s="5">
        <v>0</v>
      </c>
    </row>
    <row r="106" spans="1:2" x14ac:dyDescent="0.45">
      <c r="A106" s="5">
        <f>E1 + 104*E3</f>
        <v>2.3666666666666667</v>
      </c>
      <c r="B106" s="5">
        <v>0</v>
      </c>
    </row>
    <row r="107" spans="1:2" x14ac:dyDescent="0.45">
      <c r="A107" s="5">
        <f>E1 + 105*E3</f>
        <v>2.375</v>
      </c>
      <c r="B107" s="5">
        <v>0</v>
      </c>
    </row>
    <row r="108" spans="1:2" x14ac:dyDescent="0.45">
      <c r="A108" s="5">
        <f>E1 + 106*E3</f>
        <v>2.3833333333333333</v>
      </c>
      <c r="B108" s="5">
        <v>0</v>
      </c>
    </row>
    <row r="109" spans="1:2" x14ac:dyDescent="0.45">
      <c r="A109" s="5">
        <f>E1 + 107*E3</f>
        <v>2.3916666666666666</v>
      </c>
      <c r="B109" s="5">
        <v>0</v>
      </c>
    </row>
    <row r="110" spans="1:2" x14ac:dyDescent="0.45">
      <c r="A110" s="5">
        <f>E1 + 108*E3</f>
        <v>2.4</v>
      </c>
      <c r="B110" s="5">
        <v>0</v>
      </c>
    </row>
    <row r="111" spans="1:2" x14ac:dyDescent="0.45">
      <c r="A111" s="5">
        <f>E1 + 109*E3</f>
        <v>2.4083333333333332</v>
      </c>
      <c r="B111" s="5">
        <v>0</v>
      </c>
    </row>
    <row r="112" spans="1:2" x14ac:dyDescent="0.45">
      <c r="A112" s="5">
        <f>E1 + 110*E3</f>
        <v>2.4166666666666665</v>
      </c>
      <c r="B112" s="5">
        <v>0</v>
      </c>
    </row>
    <row r="113" spans="1:2" x14ac:dyDescent="0.45">
      <c r="A113" s="5">
        <f>E1 + 111*E3</f>
        <v>2.4249999999999998</v>
      </c>
      <c r="B113" s="5">
        <v>0</v>
      </c>
    </row>
    <row r="114" spans="1:2" x14ac:dyDescent="0.45">
      <c r="A114" s="5">
        <f>E1 + 112*E3</f>
        <v>2.4333333333333336</v>
      </c>
      <c r="B114" s="5">
        <v>0</v>
      </c>
    </row>
    <row r="115" spans="1:2" x14ac:dyDescent="0.45">
      <c r="A115" s="5">
        <f>E1 + 113*E3</f>
        <v>2.4416666666666664</v>
      </c>
      <c r="B115" s="5">
        <v>0</v>
      </c>
    </row>
    <row r="116" spans="1:2" x14ac:dyDescent="0.45">
      <c r="A116" s="5">
        <f>E1 + 114*E3</f>
        <v>2.4500000000000002</v>
      </c>
      <c r="B116" s="5">
        <v>0</v>
      </c>
    </row>
    <row r="117" spans="1:2" x14ac:dyDescent="0.45">
      <c r="A117" s="5">
        <f>E1 + 115*E3</f>
        <v>2.4583333333333335</v>
      </c>
      <c r="B117" s="5">
        <v>0</v>
      </c>
    </row>
    <row r="118" spans="1:2" x14ac:dyDescent="0.45">
      <c r="A118" s="5">
        <f>E1 + 116*E3</f>
        <v>2.4666666666666668</v>
      </c>
      <c r="B118" s="5">
        <v>0</v>
      </c>
    </row>
    <row r="119" spans="1:2" x14ac:dyDescent="0.45">
      <c r="A119" s="5">
        <f>E1 + 117*E3</f>
        <v>2.4750000000000001</v>
      </c>
      <c r="B119" s="5">
        <v>0</v>
      </c>
    </row>
    <row r="120" spans="1:2" x14ac:dyDescent="0.45">
      <c r="A120" s="5">
        <f>E1 + 118*E3</f>
        <v>2.4833333333333334</v>
      </c>
      <c r="B120" s="5">
        <v>0</v>
      </c>
    </row>
    <row r="121" spans="1:2" x14ac:dyDescent="0.45">
      <c r="A121" s="5">
        <f>E1 + 119*E3</f>
        <v>2.4916666666666667</v>
      </c>
      <c r="B121" s="5">
        <v>0</v>
      </c>
    </row>
    <row r="122" spans="1:2" x14ac:dyDescent="0.45">
      <c r="A122" s="5">
        <f>E1 + 120*E3</f>
        <v>2.5</v>
      </c>
      <c r="B122" s="5">
        <v>0</v>
      </c>
    </row>
    <row r="123" spans="1:2" x14ac:dyDescent="0.45">
      <c r="A123" s="5">
        <f>E1 + 121*E3</f>
        <v>2.5083333333333333</v>
      </c>
      <c r="B123" s="5">
        <v>0</v>
      </c>
    </row>
    <row r="124" spans="1:2" x14ac:dyDescent="0.45">
      <c r="A124" s="5">
        <f>E1 + 122*E3</f>
        <v>2.5166666666666666</v>
      </c>
      <c r="B124" s="5">
        <v>0</v>
      </c>
    </row>
    <row r="125" spans="1:2" x14ac:dyDescent="0.45">
      <c r="A125" s="5">
        <f>E1 + 123*E3</f>
        <v>2.5249999999999999</v>
      </c>
      <c r="B125" s="5">
        <v>0</v>
      </c>
    </row>
    <row r="126" spans="1:2" x14ac:dyDescent="0.45">
      <c r="A126" s="5">
        <f>E1 + 124*E3</f>
        <v>2.5333333333333332</v>
      </c>
      <c r="B126" s="5">
        <v>0</v>
      </c>
    </row>
    <row r="127" spans="1:2" x14ac:dyDescent="0.45">
      <c r="A127" s="5">
        <f>E1 + 125*E3</f>
        <v>2.541666666666667</v>
      </c>
      <c r="B127" s="5">
        <v>0</v>
      </c>
    </row>
    <row r="128" spans="1:2" x14ac:dyDescent="0.45">
      <c r="A128" s="5">
        <f>E1 + 126*E3</f>
        <v>2.5499999999999998</v>
      </c>
      <c r="B128" s="5">
        <v>0</v>
      </c>
    </row>
    <row r="129" spans="1:2" x14ac:dyDescent="0.45">
      <c r="A129" s="5">
        <f>E1 + 127*E3</f>
        <v>2.5583333333333336</v>
      </c>
      <c r="B129" s="5">
        <v>0</v>
      </c>
    </row>
    <row r="130" spans="1:2" x14ac:dyDescent="0.45">
      <c r="A130" s="5">
        <f>E1 + 128*E3</f>
        <v>2.5666666666666664</v>
      </c>
      <c r="B130" s="5">
        <v>0</v>
      </c>
    </row>
    <row r="131" spans="1:2" x14ac:dyDescent="0.45">
      <c r="A131" s="5">
        <f>E1 + 129*E3</f>
        <v>2.5750000000000002</v>
      </c>
      <c r="B131" s="5">
        <v>0</v>
      </c>
    </row>
    <row r="132" spans="1:2" x14ac:dyDescent="0.45">
      <c r="A132" s="5">
        <f>E1 + 130*E3</f>
        <v>2.583333333333333</v>
      </c>
      <c r="B132" s="5">
        <v>0</v>
      </c>
    </row>
    <row r="133" spans="1:2" x14ac:dyDescent="0.45">
      <c r="A133" s="5">
        <f>E1 + 131*E3</f>
        <v>2.5916666666666668</v>
      </c>
      <c r="B133" s="5">
        <v>0</v>
      </c>
    </row>
    <row r="134" spans="1:2" x14ac:dyDescent="0.45">
      <c r="A134" s="5">
        <f>E1 + 132*E3</f>
        <v>2.6</v>
      </c>
      <c r="B134" s="5">
        <v>0</v>
      </c>
    </row>
    <row r="135" spans="1:2" x14ac:dyDescent="0.45">
      <c r="A135" s="5">
        <f>E1 + 133*E3</f>
        <v>2.6083333333333334</v>
      </c>
      <c r="B135" s="5">
        <v>0</v>
      </c>
    </row>
    <row r="136" spans="1:2" x14ac:dyDescent="0.45">
      <c r="A136" s="5">
        <f>E1 + 134*E3</f>
        <v>2.6166666666666667</v>
      </c>
      <c r="B136" s="5">
        <v>0</v>
      </c>
    </row>
    <row r="137" spans="1:2" x14ac:dyDescent="0.45">
      <c r="A137" s="5">
        <f>E1 + 135*E3</f>
        <v>2.625</v>
      </c>
      <c r="B137" s="5">
        <v>0</v>
      </c>
    </row>
    <row r="138" spans="1:2" x14ac:dyDescent="0.45">
      <c r="A138" s="5">
        <f>E1 + 136*E3</f>
        <v>2.6333333333333333</v>
      </c>
      <c r="B138" s="5">
        <v>0</v>
      </c>
    </row>
    <row r="139" spans="1:2" x14ac:dyDescent="0.45">
      <c r="A139" s="5">
        <f>E1 + 137*E3</f>
        <v>2.6416666666666666</v>
      </c>
      <c r="B139" s="5">
        <v>0</v>
      </c>
    </row>
    <row r="140" spans="1:2" x14ac:dyDescent="0.45">
      <c r="A140" s="5">
        <f>E1 + 138*E3</f>
        <v>2.65</v>
      </c>
      <c r="B140" s="5">
        <v>0</v>
      </c>
    </row>
    <row r="141" spans="1:2" x14ac:dyDescent="0.45">
      <c r="A141" s="5">
        <f>E1 + 139*E3</f>
        <v>2.6583333333333332</v>
      </c>
      <c r="B141" s="5">
        <v>0</v>
      </c>
    </row>
    <row r="142" spans="1:2" x14ac:dyDescent="0.45">
      <c r="A142" s="5">
        <f>E1 + 140*E3</f>
        <v>2.666666666666667</v>
      </c>
      <c r="B142" s="5">
        <v>0</v>
      </c>
    </row>
    <row r="143" spans="1:2" x14ac:dyDescent="0.45">
      <c r="A143" s="5">
        <f>E1 + 141*E3</f>
        <v>2.6749999999999998</v>
      </c>
      <c r="B143" s="5">
        <v>0</v>
      </c>
    </row>
    <row r="144" spans="1:2" x14ac:dyDescent="0.45">
      <c r="A144" s="5">
        <f>E1 + 142*E3</f>
        <v>2.6833333333333336</v>
      </c>
      <c r="B144" s="5">
        <v>0</v>
      </c>
    </row>
    <row r="145" spans="1:2" x14ac:dyDescent="0.45">
      <c r="A145" s="5">
        <f>E1 + 143*E3</f>
        <v>2.6916666666666664</v>
      </c>
      <c r="B145" s="5">
        <v>0</v>
      </c>
    </row>
    <row r="146" spans="1:2" x14ac:dyDescent="0.45">
      <c r="A146" s="5">
        <f>E1 + 144*E3</f>
        <v>2.7</v>
      </c>
      <c r="B146" s="5">
        <v>0</v>
      </c>
    </row>
    <row r="147" spans="1:2" x14ac:dyDescent="0.45">
      <c r="A147" s="5">
        <f>E1 + 145*E3</f>
        <v>2.708333333333333</v>
      </c>
      <c r="B147" s="5">
        <v>0</v>
      </c>
    </row>
    <row r="148" spans="1:2" x14ac:dyDescent="0.45">
      <c r="A148" s="5">
        <f>E1 + 146*E3</f>
        <v>2.7166666666666668</v>
      </c>
      <c r="B148" s="5">
        <v>0</v>
      </c>
    </row>
    <row r="149" spans="1:2" x14ac:dyDescent="0.45">
      <c r="A149" s="5">
        <f>E1 + 147*E3</f>
        <v>2.7250000000000001</v>
      </c>
      <c r="B149" s="5">
        <v>0</v>
      </c>
    </row>
    <row r="150" spans="1:2" x14ac:dyDescent="0.45">
      <c r="A150" s="5">
        <f>E1 + 148*E3</f>
        <v>2.7333333333333334</v>
      </c>
      <c r="B150" s="5">
        <v>0</v>
      </c>
    </row>
    <row r="151" spans="1:2" x14ac:dyDescent="0.45">
      <c r="A151" s="5">
        <f>E1 + 149*E3</f>
        <v>2.7416666666666667</v>
      </c>
      <c r="B151" s="5">
        <v>0</v>
      </c>
    </row>
    <row r="152" spans="1:2" x14ac:dyDescent="0.45">
      <c r="A152" s="5">
        <f>E1 + 150*E3</f>
        <v>2.75</v>
      </c>
      <c r="B152" s="5">
        <v>0</v>
      </c>
    </row>
    <row r="153" spans="1:2" x14ac:dyDescent="0.45">
      <c r="A153" s="5">
        <f>E1 + 151*E3</f>
        <v>2.7583333333333333</v>
      </c>
      <c r="B153" s="5">
        <v>0</v>
      </c>
    </row>
    <row r="154" spans="1:2" x14ac:dyDescent="0.45">
      <c r="A154" s="5">
        <f>E1 + 152*E3</f>
        <v>2.7666666666666666</v>
      </c>
      <c r="B154" s="5">
        <v>0</v>
      </c>
    </row>
    <row r="155" spans="1:2" x14ac:dyDescent="0.45">
      <c r="A155" s="5">
        <f>E1 + 153*E3</f>
        <v>2.7749999999999999</v>
      </c>
      <c r="B155" s="5">
        <v>0</v>
      </c>
    </row>
    <row r="156" spans="1:2" x14ac:dyDescent="0.45">
      <c r="A156" s="5">
        <f>E1 + 154*E3</f>
        <v>2.7833333333333332</v>
      </c>
      <c r="B156" s="5">
        <v>0</v>
      </c>
    </row>
    <row r="157" spans="1:2" x14ac:dyDescent="0.45">
      <c r="A157" s="5">
        <f>E1 + 155*E3</f>
        <v>2.791666666666667</v>
      </c>
      <c r="B157" s="5">
        <v>0</v>
      </c>
    </row>
    <row r="158" spans="1:2" x14ac:dyDescent="0.45">
      <c r="A158" s="5">
        <f>E1 + 156*E3</f>
        <v>2.8</v>
      </c>
      <c r="B158" s="5">
        <v>0</v>
      </c>
    </row>
    <row r="159" spans="1:2" x14ac:dyDescent="0.45">
      <c r="A159" s="5">
        <f>E1 + 157*E3</f>
        <v>2.8083333333333336</v>
      </c>
      <c r="B159" s="5">
        <v>0</v>
      </c>
    </row>
    <row r="160" spans="1:2" x14ac:dyDescent="0.45">
      <c r="A160" s="5">
        <f>E1 + 158*E3</f>
        <v>2.8166666666666664</v>
      </c>
      <c r="B160" s="5">
        <v>0</v>
      </c>
    </row>
    <row r="161" spans="1:2" x14ac:dyDescent="0.45">
      <c r="A161" s="5">
        <f>E1 + 159*E3</f>
        <v>2.8250000000000002</v>
      </c>
      <c r="B161" s="5">
        <v>0</v>
      </c>
    </row>
    <row r="162" spans="1:2" x14ac:dyDescent="0.45">
      <c r="A162" s="5">
        <f>E1 + 160*E3</f>
        <v>2.833333333333333</v>
      </c>
      <c r="B162" s="5">
        <v>0</v>
      </c>
    </row>
    <row r="163" spans="1:2" x14ac:dyDescent="0.45">
      <c r="A163" s="5">
        <f>E1 + 161*E3</f>
        <v>2.8416666666666668</v>
      </c>
      <c r="B163" s="5">
        <v>0</v>
      </c>
    </row>
    <row r="164" spans="1:2" x14ac:dyDescent="0.45">
      <c r="A164" s="5">
        <f>E1 + 162*E3</f>
        <v>2.85</v>
      </c>
      <c r="B164" s="5">
        <v>0</v>
      </c>
    </row>
    <row r="165" spans="1:2" x14ac:dyDescent="0.45">
      <c r="A165" s="5">
        <f>E1 + 163*E3</f>
        <v>2.8583333333333334</v>
      </c>
      <c r="B165" s="5">
        <v>0</v>
      </c>
    </row>
    <row r="166" spans="1:2" x14ac:dyDescent="0.45">
      <c r="A166" s="5">
        <f>E1 + 164*E3</f>
        <v>2.8666666666666667</v>
      </c>
      <c r="B166" s="5">
        <v>0</v>
      </c>
    </row>
    <row r="167" spans="1:2" x14ac:dyDescent="0.45">
      <c r="A167" s="5">
        <f>E1 + 165*E3</f>
        <v>2.875</v>
      </c>
      <c r="B167" s="5">
        <v>0</v>
      </c>
    </row>
    <row r="168" spans="1:2" x14ac:dyDescent="0.45">
      <c r="A168" s="5">
        <f>E1 + 166*E3</f>
        <v>2.8833333333333333</v>
      </c>
      <c r="B168" s="5">
        <v>0</v>
      </c>
    </row>
    <row r="169" spans="1:2" x14ac:dyDescent="0.45">
      <c r="A169" s="5">
        <f>E1 + 167*E3</f>
        <v>2.8916666666666666</v>
      </c>
      <c r="B169" s="5">
        <v>0</v>
      </c>
    </row>
    <row r="170" spans="1:2" x14ac:dyDescent="0.45">
      <c r="A170" s="5">
        <f>E1 + 168*E3</f>
        <v>2.9</v>
      </c>
      <c r="B170" s="5">
        <v>0</v>
      </c>
    </row>
    <row r="171" spans="1:2" x14ac:dyDescent="0.45">
      <c r="A171" s="5">
        <f>E1 + 169*E3</f>
        <v>2.9083333333333332</v>
      </c>
      <c r="B171" s="5">
        <v>0</v>
      </c>
    </row>
    <row r="172" spans="1:2" x14ac:dyDescent="0.45">
      <c r="A172" s="5">
        <f>E1 + 170*E3</f>
        <v>2.916666666666667</v>
      </c>
      <c r="B172" s="5">
        <v>0</v>
      </c>
    </row>
    <row r="173" spans="1:2" x14ac:dyDescent="0.45">
      <c r="A173" s="5">
        <f>E1 + 171*E3</f>
        <v>2.9249999999999998</v>
      </c>
      <c r="B173" s="5">
        <v>0</v>
      </c>
    </row>
    <row r="174" spans="1:2" x14ac:dyDescent="0.45">
      <c r="A174" s="5">
        <f>E1 + 172*E3</f>
        <v>2.9333333333333336</v>
      </c>
      <c r="B174" s="5">
        <v>0</v>
      </c>
    </row>
    <row r="175" spans="1:2" x14ac:dyDescent="0.45">
      <c r="A175" s="5">
        <f>E1 + 173*E3</f>
        <v>2.9416666666666664</v>
      </c>
      <c r="B175" s="5">
        <v>0</v>
      </c>
    </row>
    <row r="176" spans="1:2" x14ac:dyDescent="0.45">
      <c r="A176" s="5">
        <f>E1 + 174*E3</f>
        <v>2.95</v>
      </c>
      <c r="B176" s="5">
        <v>0</v>
      </c>
    </row>
    <row r="177" spans="1:2" x14ac:dyDescent="0.45">
      <c r="A177" s="5">
        <f>E1 + 175*E3</f>
        <v>2.958333333333333</v>
      </c>
      <c r="B177" s="5">
        <v>0</v>
      </c>
    </row>
    <row r="178" spans="1:2" x14ac:dyDescent="0.45">
      <c r="A178" s="5">
        <f>E1 + 176*E3</f>
        <v>2.9666666666666668</v>
      </c>
      <c r="B178" s="5">
        <v>0</v>
      </c>
    </row>
    <row r="179" spans="1:2" x14ac:dyDescent="0.45">
      <c r="A179" s="5">
        <f>E1 + 177*E3</f>
        <v>2.9750000000000001</v>
      </c>
      <c r="B179" s="5">
        <v>0</v>
      </c>
    </row>
    <row r="180" spans="1:2" x14ac:dyDescent="0.45">
      <c r="A180" s="5">
        <f>E1 + 178*E3</f>
        <v>2.9833333333333334</v>
      </c>
      <c r="B180" s="5">
        <v>0</v>
      </c>
    </row>
    <row r="181" spans="1:2" x14ac:dyDescent="0.45">
      <c r="A181" s="5">
        <f>E1 + 179*E3</f>
        <v>2.9916666666666667</v>
      </c>
      <c r="B181" s="5">
        <v>0</v>
      </c>
    </row>
    <row r="182" spans="1:2" x14ac:dyDescent="0.45">
      <c r="A182" s="5">
        <f>E1 + 180*E3</f>
        <v>3</v>
      </c>
      <c r="B182" s="5">
        <v>0</v>
      </c>
    </row>
    <row r="183" spans="1:2" x14ac:dyDescent="0.45">
      <c r="A183" s="5">
        <f>E1 + 181*E3</f>
        <v>3.0083333333333333</v>
      </c>
      <c r="B183" s="5">
        <v>0</v>
      </c>
    </row>
    <row r="184" spans="1:2" x14ac:dyDescent="0.45">
      <c r="A184" s="5">
        <f>E1 + 182*E3</f>
        <v>3.0166666666666666</v>
      </c>
      <c r="B184" s="5">
        <v>0</v>
      </c>
    </row>
    <row r="185" spans="1:2" x14ac:dyDescent="0.45">
      <c r="A185" s="5">
        <f>E1 + 183*E3</f>
        <v>3.0249999999999999</v>
      </c>
      <c r="B185" s="5">
        <v>0</v>
      </c>
    </row>
    <row r="186" spans="1:2" x14ac:dyDescent="0.45">
      <c r="A186" s="5">
        <f>E1 + 184*E3</f>
        <v>3.0333333333333332</v>
      </c>
      <c r="B186" s="5">
        <v>0</v>
      </c>
    </row>
    <row r="187" spans="1:2" x14ac:dyDescent="0.45">
      <c r="A187" s="5">
        <f>E1 + 185*E3</f>
        <v>3.041666666666667</v>
      </c>
      <c r="B187" s="5">
        <v>0</v>
      </c>
    </row>
    <row r="188" spans="1:2" x14ac:dyDescent="0.45">
      <c r="A188" s="5">
        <f>E1 + 186*E3</f>
        <v>3.05</v>
      </c>
      <c r="B188" s="5">
        <v>0</v>
      </c>
    </row>
    <row r="189" spans="1:2" x14ac:dyDescent="0.45">
      <c r="A189" s="5">
        <f>E1 + 187*E3</f>
        <v>3.0583333333333336</v>
      </c>
      <c r="B189" s="5">
        <v>0</v>
      </c>
    </row>
    <row r="190" spans="1:2" x14ac:dyDescent="0.45">
      <c r="A190" s="5">
        <f>E1 + 188*E3</f>
        <v>3.0666666666666664</v>
      </c>
      <c r="B190" s="5">
        <v>0</v>
      </c>
    </row>
    <row r="191" spans="1:2" x14ac:dyDescent="0.45">
      <c r="A191" s="5">
        <f>E1 + 189*E3</f>
        <v>3.0750000000000002</v>
      </c>
      <c r="B191" s="5">
        <v>0</v>
      </c>
    </row>
    <row r="192" spans="1:2" x14ac:dyDescent="0.45">
      <c r="A192" s="5">
        <f>E1 + 190*E3</f>
        <v>3.083333333333333</v>
      </c>
      <c r="B192" s="5">
        <v>0</v>
      </c>
    </row>
    <row r="193" spans="1:2" x14ac:dyDescent="0.45">
      <c r="A193" s="5">
        <f>E1 + 191*E3</f>
        <v>3.0916666666666668</v>
      </c>
      <c r="B193" s="5">
        <v>0</v>
      </c>
    </row>
    <row r="194" spans="1:2" x14ac:dyDescent="0.45">
      <c r="A194" s="5">
        <f>E1 + 192*E3</f>
        <v>3.1</v>
      </c>
      <c r="B194" s="5">
        <v>0</v>
      </c>
    </row>
    <row r="195" spans="1:2" x14ac:dyDescent="0.45">
      <c r="A195" s="5">
        <f>E1 + 193*E3</f>
        <v>3.1083333333333334</v>
      </c>
      <c r="B195" s="5">
        <v>0</v>
      </c>
    </row>
    <row r="196" spans="1:2" x14ac:dyDescent="0.45">
      <c r="A196" s="5">
        <f>E1 + 194*E3</f>
        <v>3.1166666666666667</v>
      </c>
      <c r="B196" s="5">
        <v>0</v>
      </c>
    </row>
    <row r="197" spans="1:2" x14ac:dyDescent="0.45">
      <c r="A197" s="5">
        <f>E1 + 195*E3</f>
        <v>3.125</v>
      </c>
      <c r="B197" s="5">
        <v>0</v>
      </c>
    </row>
    <row r="198" spans="1:2" x14ac:dyDescent="0.45">
      <c r="A198" s="5">
        <f>E1 + 196*E3</f>
        <v>3.1333333333333333</v>
      </c>
      <c r="B198" s="5">
        <v>0</v>
      </c>
    </row>
    <row r="199" spans="1:2" x14ac:dyDescent="0.45">
      <c r="A199" s="5">
        <f>E1 + 197*E3</f>
        <v>3.1416666666666666</v>
      </c>
      <c r="B199" s="5">
        <v>0</v>
      </c>
    </row>
    <row r="200" spans="1:2" x14ac:dyDescent="0.45">
      <c r="A200" s="5">
        <f>E1 + 198*E3</f>
        <v>3.15</v>
      </c>
      <c r="B200" s="5">
        <v>0</v>
      </c>
    </row>
    <row r="201" spans="1:2" x14ac:dyDescent="0.45">
      <c r="A201" s="5">
        <f>E1 + 199*E3</f>
        <v>3.1583333333333332</v>
      </c>
      <c r="B201" s="5">
        <v>0</v>
      </c>
    </row>
    <row r="202" spans="1:2" x14ac:dyDescent="0.45">
      <c r="A202" s="5">
        <f>E1 + 200*E3</f>
        <v>3.166666666666667</v>
      </c>
      <c r="B202" s="5">
        <v>0</v>
      </c>
    </row>
    <row r="203" spans="1:2" x14ac:dyDescent="0.45">
      <c r="A203" s="5">
        <f>E1 + 201*E3</f>
        <v>3.1749999999999998</v>
      </c>
      <c r="B203" s="5">
        <v>0</v>
      </c>
    </row>
    <row r="204" spans="1:2" x14ac:dyDescent="0.45">
      <c r="A204" s="5">
        <f>E1 + 202*E3</f>
        <v>3.1833333333333336</v>
      </c>
      <c r="B204" s="5">
        <v>0</v>
      </c>
    </row>
    <row r="205" spans="1:2" x14ac:dyDescent="0.45">
      <c r="A205" s="5">
        <f>E1 + 203*E3</f>
        <v>3.1916666666666664</v>
      </c>
      <c r="B205" s="5">
        <v>0</v>
      </c>
    </row>
    <row r="206" spans="1:2" x14ac:dyDescent="0.45">
      <c r="A206" s="5">
        <f>E1 + 204*E3</f>
        <v>3.2</v>
      </c>
      <c r="B206" s="5">
        <v>0</v>
      </c>
    </row>
    <row r="207" spans="1:2" x14ac:dyDescent="0.45">
      <c r="A207" s="5">
        <f>E1 + 205*E3</f>
        <v>3.208333333333333</v>
      </c>
      <c r="B207" s="5">
        <v>0</v>
      </c>
    </row>
    <row r="208" spans="1:2" x14ac:dyDescent="0.45">
      <c r="A208" s="5">
        <f>E1 + 206*E3</f>
        <v>3.2166666666666668</v>
      </c>
      <c r="B208" s="5">
        <v>0</v>
      </c>
    </row>
    <row r="209" spans="1:2" x14ac:dyDescent="0.45">
      <c r="A209" s="5">
        <f>E1 + 207*E3</f>
        <v>3.2249999999999996</v>
      </c>
      <c r="B209" s="5">
        <v>0</v>
      </c>
    </row>
    <row r="210" spans="1:2" x14ac:dyDescent="0.45">
      <c r="A210" s="5">
        <f>E1 + 208*E3</f>
        <v>3.2333333333333334</v>
      </c>
      <c r="B210" s="5">
        <v>0</v>
      </c>
    </row>
    <row r="211" spans="1:2" x14ac:dyDescent="0.45">
      <c r="A211" s="5">
        <f>E1 + 209*E3</f>
        <v>3.2416666666666667</v>
      </c>
      <c r="B211" s="5">
        <v>0</v>
      </c>
    </row>
    <row r="212" spans="1:2" x14ac:dyDescent="0.45">
      <c r="A212" s="5">
        <f>E1 + 210*E3</f>
        <v>3.25</v>
      </c>
      <c r="B212" s="5">
        <v>0</v>
      </c>
    </row>
    <row r="213" spans="1:2" x14ac:dyDescent="0.45">
      <c r="A213" s="5">
        <f>E1 + 211*E3</f>
        <v>3.2583333333333333</v>
      </c>
      <c r="B213" s="5">
        <v>0</v>
      </c>
    </row>
    <row r="214" spans="1:2" x14ac:dyDescent="0.45">
      <c r="A214" s="5">
        <f>E1 + 212*E3</f>
        <v>3.2666666666666666</v>
      </c>
      <c r="B214" s="5">
        <v>0</v>
      </c>
    </row>
    <row r="215" spans="1:2" x14ac:dyDescent="0.45">
      <c r="A215" s="5">
        <f>E1 + 213*E3</f>
        <v>3.2749999999999999</v>
      </c>
      <c r="B215" s="5">
        <v>0</v>
      </c>
    </row>
    <row r="216" spans="1:2" x14ac:dyDescent="0.45">
      <c r="A216" s="5">
        <f>E1 + 214*E3</f>
        <v>3.2833333333333332</v>
      </c>
      <c r="B216" s="5">
        <v>0</v>
      </c>
    </row>
    <row r="217" spans="1:2" x14ac:dyDescent="0.45">
      <c r="A217" s="5">
        <f>E1 + 215*E3</f>
        <v>3.291666666666667</v>
      </c>
      <c r="B217" s="5">
        <v>0</v>
      </c>
    </row>
    <row r="218" spans="1:2" x14ac:dyDescent="0.45">
      <c r="A218" s="5">
        <f>E1 + 216*E3</f>
        <v>3.3</v>
      </c>
      <c r="B218" s="5">
        <v>0</v>
      </c>
    </row>
    <row r="219" spans="1:2" x14ac:dyDescent="0.45">
      <c r="A219" s="5">
        <f>E1 + 217*E3</f>
        <v>3.3083333333333336</v>
      </c>
      <c r="B219" s="5">
        <v>0</v>
      </c>
    </row>
    <row r="220" spans="1:2" x14ac:dyDescent="0.45">
      <c r="A220" s="5">
        <f>E1 + 218*E3</f>
        <v>3.3166666666666664</v>
      </c>
      <c r="B220" s="5">
        <v>0</v>
      </c>
    </row>
    <row r="221" spans="1:2" x14ac:dyDescent="0.45">
      <c r="A221" s="5">
        <f>E1 + 219*E3</f>
        <v>3.3250000000000002</v>
      </c>
      <c r="B221" s="5">
        <v>0</v>
      </c>
    </row>
    <row r="222" spans="1:2" x14ac:dyDescent="0.45">
      <c r="A222" s="5">
        <f>E1 + 220*E3</f>
        <v>3.333333333333333</v>
      </c>
      <c r="B222" s="5">
        <v>0</v>
      </c>
    </row>
    <row r="223" spans="1:2" x14ac:dyDescent="0.45">
      <c r="A223" s="5">
        <f>E1 + 221*E3</f>
        <v>3.3416666666666668</v>
      </c>
      <c r="B223" s="5">
        <v>0</v>
      </c>
    </row>
    <row r="224" spans="1:2" x14ac:dyDescent="0.45">
      <c r="A224" s="5">
        <f>E1 + 222*E3</f>
        <v>3.3499999999999996</v>
      </c>
      <c r="B224" s="5">
        <v>0</v>
      </c>
    </row>
    <row r="225" spans="1:2" x14ac:dyDescent="0.45">
      <c r="A225" s="5">
        <f>E1 + 223*E3</f>
        <v>3.3583333333333334</v>
      </c>
      <c r="B225" s="5">
        <v>0</v>
      </c>
    </row>
    <row r="226" spans="1:2" x14ac:dyDescent="0.45">
      <c r="A226" s="5">
        <f>E1 + 224*E3</f>
        <v>3.3666666666666667</v>
      </c>
      <c r="B226" s="5">
        <v>0</v>
      </c>
    </row>
    <row r="227" spans="1:2" x14ac:dyDescent="0.45">
      <c r="A227" s="5">
        <f>E1 + 225*E3</f>
        <v>3.375</v>
      </c>
      <c r="B227" s="5">
        <v>0</v>
      </c>
    </row>
    <row r="228" spans="1:2" x14ac:dyDescent="0.45">
      <c r="A228" s="5">
        <f>E1 + 226*E3</f>
        <v>3.3833333333333333</v>
      </c>
      <c r="B228" s="5">
        <v>0</v>
      </c>
    </row>
    <row r="229" spans="1:2" x14ac:dyDescent="0.45">
      <c r="A229" s="5">
        <f>E1 + 227*E3</f>
        <v>3.3916666666666666</v>
      </c>
      <c r="B229" s="5">
        <v>0</v>
      </c>
    </row>
    <row r="230" spans="1:2" x14ac:dyDescent="0.45">
      <c r="A230" s="5">
        <f>E1 + 228*E3</f>
        <v>3.4</v>
      </c>
      <c r="B230" s="5">
        <v>0</v>
      </c>
    </row>
    <row r="231" spans="1:2" x14ac:dyDescent="0.45">
      <c r="A231" s="5">
        <f>E1 + 229*E3</f>
        <v>3.4083333333333332</v>
      </c>
      <c r="B231" s="5">
        <v>0</v>
      </c>
    </row>
    <row r="232" spans="1:2" x14ac:dyDescent="0.45">
      <c r="A232" s="5">
        <f>E1 + 230*E3</f>
        <v>3.416666666666667</v>
      </c>
      <c r="B232" s="5">
        <v>0</v>
      </c>
    </row>
    <row r="233" spans="1:2" x14ac:dyDescent="0.45">
      <c r="A233" s="5">
        <f>E1 + 231*E3</f>
        <v>3.4249999999999998</v>
      </c>
      <c r="B233" s="5">
        <v>0</v>
      </c>
    </row>
    <row r="234" spans="1:2" x14ac:dyDescent="0.45">
      <c r="A234" s="5">
        <f>E1 + 232*E3</f>
        <v>3.4333333333333336</v>
      </c>
      <c r="B234" s="5">
        <v>0</v>
      </c>
    </row>
    <row r="235" spans="1:2" x14ac:dyDescent="0.45">
      <c r="A235" s="5">
        <f>E1 + 233*E3</f>
        <v>3.4416666666666664</v>
      </c>
      <c r="B235" s="5">
        <v>0</v>
      </c>
    </row>
    <row r="236" spans="1:2" x14ac:dyDescent="0.45">
      <c r="A236" s="5">
        <f>E1 + 234*E3</f>
        <v>3.45</v>
      </c>
      <c r="B236" s="5">
        <v>0</v>
      </c>
    </row>
    <row r="237" spans="1:2" x14ac:dyDescent="0.45">
      <c r="A237" s="5">
        <f>E1 + 235*E3</f>
        <v>3.458333333333333</v>
      </c>
      <c r="B237" s="5">
        <v>0</v>
      </c>
    </row>
    <row r="238" spans="1:2" x14ac:dyDescent="0.45">
      <c r="A238" s="5">
        <f>E1 + 236*E3</f>
        <v>3.4666666666666668</v>
      </c>
      <c r="B238" s="5">
        <v>0</v>
      </c>
    </row>
    <row r="239" spans="1:2" x14ac:dyDescent="0.45">
      <c r="A239" s="5">
        <f>E1 + 237*E3</f>
        <v>3.4749999999999996</v>
      </c>
      <c r="B239" s="5">
        <v>0</v>
      </c>
    </row>
    <row r="240" spans="1:2" x14ac:dyDescent="0.45">
      <c r="A240" s="5">
        <f>E1 + 238*E3</f>
        <v>3.4833333333333334</v>
      </c>
      <c r="B240" s="5">
        <v>0</v>
      </c>
    </row>
    <row r="241" spans="1:2" x14ac:dyDescent="0.45">
      <c r="A241" s="5">
        <f>E1 + 239*E3</f>
        <v>3.4916666666666667</v>
      </c>
      <c r="B241" s="5">
        <v>0</v>
      </c>
    </row>
    <row r="242" spans="1:2" x14ac:dyDescent="0.45">
      <c r="A242" s="5">
        <f>E1 + 240*E3</f>
        <v>3.5</v>
      </c>
      <c r="B242" s="5">
        <v>0</v>
      </c>
    </row>
    <row r="243" spans="1:2" x14ac:dyDescent="0.45">
      <c r="A243" s="5">
        <f>E1 + 241*E3</f>
        <v>3.5083333333333333</v>
      </c>
      <c r="B243" s="5">
        <v>0</v>
      </c>
    </row>
    <row r="244" spans="1:2" x14ac:dyDescent="0.45">
      <c r="A244" s="5">
        <f>E1 + 242*E3</f>
        <v>3.5166666666666666</v>
      </c>
      <c r="B244" s="5">
        <v>0</v>
      </c>
    </row>
    <row r="245" spans="1:2" x14ac:dyDescent="0.45">
      <c r="A245" s="5">
        <f>E1 + 243*E3</f>
        <v>3.5249999999999999</v>
      </c>
      <c r="B245" s="5">
        <v>0</v>
      </c>
    </row>
    <row r="246" spans="1:2" x14ac:dyDescent="0.45">
      <c r="A246" s="5">
        <f>E1 + 244*E3</f>
        <v>3.5333333333333332</v>
      </c>
      <c r="B246" s="5">
        <v>0</v>
      </c>
    </row>
    <row r="247" spans="1:2" x14ac:dyDescent="0.45">
      <c r="A247" s="5">
        <f>E1 + 245*E3</f>
        <v>3.5416666666666665</v>
      </c>
      <c r="B247" s="5">
        <v>0</v>
      </c>
    </row>
    <row r="248" spans="1:2" x14ac:dyDescent="0.45">
      <c r="A248" s="5">
        <f>E1 + 246*E3</f>
        <v>3.55</v>
      </c>
      <c r="B248" s="5">
        <v>0</v>
      </c>
    </row>
    <row r="249" spans="1:2" x14ac:dyDescent="0.45">
      <c r="A249" s="5">
        <f>E1 + 247*E3</f>
        <v>3.5583333333333331</v>
      </c>
      <c r="B249" s="5">
        <v>0</v>
      </c>
    </row>
    <row r="250" spans="1:2" x14ac:dyDescent="0.45">
      <c r="A250" s="5">
        <f>E1 + 248*E3</f>
        <v>3.5666666666666664</v>
      </c>
      <c r="B250" s="5">
        <v>0</v>
      </c>
    </row>
    <row r="251" spans="1:2" x14ac:dyDescent="0.45">
      <c r="A251" s="5">
        <f>E1 + 249*E3</f>
        <v>3.5750000000000002</v>
      </c>
      <c r="B251" s="5">
        <v>0</v>
      </c>
    </row>
    <row r="252" spans="1:2" x14ac:dyDescent="0.45">
      <c r="A252" s="5">
        <f>E1 + 250*E3</f>
        <v>3.5833333333333335</v>
      </c>
      <c r="B252" s="5">
        <v>0</v>
      </c>
    </row>
    <row r="253" spans="1:2" x14ac:dyDescent="0.45">
      <c r="A253" s="5">
        <f>E1 + 251*E3</f>
        <v>3.5916666666666668</v>
      </c>
      <c r="B253" s="5">
        <v>0</v>
      </c>
    </row>
    <row r="254" spans="1:2" x14ac:dyDescent="0.45">
      <c r="A254" s="5">
        <f>E1 + 252*E3</f>
        <v>3.6</v>
      </c>
      <c r="B254" s="5">
        <v>0</v>
      </c>
    </row>
    <row r="255" spans="1:2" x14ac:dyDescent="0.45">
      <c r="A255" s="5">
        <f>E1 + 253*E3</f>
        <v>3.6083333333333334</v>
      </c>
      <c r="B255" s="5">
        <v>0</v>
      </c>
    </row>
    <row r="256" spans="1:2" x14ac:dyDescent="0.45">
      <c r="A256" s="5">
        <f>E1 + 254*E3</f>
        <v>3.6166666666666667</v>
      </c>
      <c r="B256" s="5">
        <v>0</v>
      </c>
    </row>
    <row r="257" spans="1:2" x14ac:dyDescent="0.45">
      <c r="A257" s="5">
        <f>E1 + 255*E3</f>
        <v>3.625</v>
      </c>
      <c r="B257" s="5">
        <v>0</v>
      </c>
    </row>
    <row r="258" spans="1:2" x14ac:dyDescent="0.45">
      <c r="A258" s="5">
        <f>E1 + 256*E3</f>
        <v>3.6333333333333333</v>
      </c>
      <c r="B258" s="5">
        <v>0</v>
      </c>
    </row>
    <row r="259" spans="1:2" x14ac:dyDescent="0.45">
      <c r="A259" s="5">
        <f>E1 + 257*E3</f>
        <v>3.6416666666666666</v>
      </c>
      <c r="B259" s="5">
        <v>0</v>
      </c>
    </row>
    <row r="260" spans="1:2" x14ac:dyDescent="0.45">
      <c r="A260" s="5">
        <f>E1 + 258*E3</f>
        <v>3.65</v>
      </c>
      <c r="B260" s="5">
        <v>0</v>
      </c>
    </row>
    <row r="261" spans="1:2" x14ac:dyDescent="0.45">
      <c r="A261" s="5">
        <f>E1 + 259*E3</f>
        <v>3.6583333333333332</v>
      </c>
      <c r="B261" s="5">
        <v>0</v>
      </c>
    </row>
    <row r="262" spans="1:2" x14ac:dyDescent="0.45">
      <c r="A262" s="5">
        <f>E1 + 260*E3</f>
        <v>3.6666666666666665</v>
      </c>
      <c r="B262" s="5">
        <v>0</v>
      </c>
    </row>
    <row r="263" spans="1:2" x14ac:dyDescent="0.45">
      <c r="A263" s="5">
        <f>E1 + 261*E3</f>
        <v>3.6749999999999998</v>
      </c>
      <c r="B263" s="5">
        <v>0</v>
      </c>
    </row>
    <row r="264" spans="1:2" x14ac:dyDescent="0.45">
      <c r="A264" s="5">
        <f>E1 + 262*E3</f>
        <v>3.6833333333333331</v>
      </c>
      <c r="B264" s="5">
        <v>0</v>
      </c>
    </row>
    <row r="265" spans="1:2" x14ac:dyDescent="0.45">
      <c r="A265" s="5">
        <f>E1 + 263*E3</f>
        <v>3.6916666666666664</v>
      </c>
      <c r="B265" s="5">
        <v>0</v>
      </c>
    </row>
    <row r="266" spans="1:2" x14ac:dyDescent="0.45">
      <c r="A266" s="5">
        <f>E1 + 264*E3</f>
        <v>3.7</v>
      </c>
      <c r="B266" s="5">
        <v>0</v>
      </c>
    </row>
    <row r="267" spans="1:2" x14ac:dyDescent="0.45">
      <c r="A267" s="5">
        <f>E1 + 265*E3</f>
        <v>3.7083333333333335</v>
      </c>
      <c r="B267" s="5">
        <v>0</v>
      </c>
    </row>
    <row r="268" spans="1:2" x14ac:dyDescent="0.45">
      <c r="A268" s="5">
        <f>E1 + 266*E3</f>
        <v>3.7166666666666668</v>
      </c>
      <c r="B268" s="5">
        <v>0</v>
      </c>
    </row>
    <row r="269" spans="1:2" x14ac:dyDescent="0.45">
      <c r="A269" s="5">
        <f>E1 + 267*E3</f>
        <v>3.7250000000000001</v>
      </c>
      <c r="B269" s="5">
        <v>0</v>
      </c>
    </row>
    <row r="270" spans="1:2" x14ac:dyDescent="0.45">
      <c r="A270" s="5">
        <f>E1 + 268*E3</f>
        <v>3.7333333333333334</v>
      </c>
      <c r="B270" s="5">
        <v>0</v>
      </c>
    </row>
    <row r="271" spans="1:2" x14ac:dyDescent="0.45">
      <c r="A271" s="5">
        <f>E1 + 269*E3</f>
        <v>3.7416666666666667</v>
      </c>
      <c r="B271" s="5">
        <v>0</v>
      </c>
    </row>
    <row r="272" spans="1:2" x14ac:dyDescent="0.45">
      <c r="A272" s="5">
        <f>E1 + 270*E3</f>
        <v>3.75</v>
      </c>
      <c r="B272" s="5">
        <v>0</v>
      </c>
    </row>
    <row r="273" spans="1:2" x14ac:dyDescent="0.45">
      <c r="A273" s="5">
        <f>E1 + 271*E3</f>
        <v>3.7583333333333333</v>
      </c>
      <c r="B273" s="5">
        <v>0</v>
      </c>
    </row>
    <row r="274" spans="1:2" x14ac:dyDescent="0.45">
      <c r="A274" s="5">
        <f>E1 + 272*E3</f>
        <v>3.7666666666666666</v>
      </c>
      <c r="B274" s="5">
        <v>0</v>
      </c>
    </row>
    <row r="275" spans="1:2" x14ac:dyDescent="0.45">
      <c r="A275" s="5">
        <f>E1 + 273*E3</f>
        <v>3.7749999999999999</v>
      </c>
      <c r="B275" s="5">
        <v>0</v>
      </c>
    </row>
    <row r="276" spans="1:2" x14ac:dyDescent="0.45">
      <c r="A276" s="5">
        <f>E1 + 274*E3</f>
        <v>3.7833333333333332</v>
      </c>
      <c r="B276" s="5">
        <v>0</v>
      </c>
    </row>
    <row r="277" spans="1:2" x14ac:dyDescent="0.45">
      <c r="A277" s="5">
        <f>E1 + 275*E3</f>
        <v>3.7916666666666665</v>
      </c>
      <c r="B277" s="5">
        <v>0</v>
      </c>
    </row>
    <row r="278" spans="1:2" x14ac:dyDescent="0.45">
      <c r="A278" s="5">
        <f>E1 + 276*E3</f>
        <v>3.8</v>
      </c>
      <c r="B278" s="5">
        <v>0</v>
      </c>
    </row>
    <row r="279" spans="1:2" x14ac:dyDescent="0.45">
      <c r="A279" s="5">
        <f>E1 + 277*E3</f>
        <v>3.8083333333333331</v>
      </c>
      <c r="B279" s="5">
        <v>0</v>
      </c>
    </row>
    <row r="280" spans="1:2" x14ac:dyDescent="0.45">
      <c r="A280" s="5">
        <f>E1 + 278*E3</f>
        <v>3.8166666666666664</v>
      </c>
      <c r="B280" s="5">
        <v>0</v>
      </c>
    </row>
    <row r="281" spans="1:2" x14ac:dyDescent="0.45">
      <c r="A281" s="5">
        <f>E1 + 279*E3</f>
        <v>3.8250000000000002</v>
      </c>
      <c r="B281" s="5">
        <v>0</v>
      </c>
    </row>
    <row r="282" spans="1:2" x14ac:dyDescent="0.45">
      <c r="A282" s="5">
        <f>E1 + 280*E3</f>
        <v>3.8333333333333335</v>
      </c>
      <c r="B282" s="5">
        <v>0</v>
      </c>
    </row>
    <row r="283" spans="1:2" x14ac:dyDescent="0.45">
      <c r="A283" s="5">
        <f>E1 + 281*E3</f>
        <v>3.8416666666666668</v>
      </c>
      <c r="B283" s="5">
        <v>0</v>
      </c>
    </row>
    <row r="284" spans="1:2" x14ac:dyDescent="0.45">
      <c r="A284" s="5">
        <f>E1 + 282*E3</f>
        <v>3.85</v>
      </c>
      <c r="B284" s="5">
        <v>0</v>
      </c>
    </row>
    <row r="285" spans="1:2" x14ac:dyDescent="0.45">
      <c r="A285" s="5">
        <f>E1 + 283*E3</f>
        <v>3.8583333333333334</v>
      </c>
      <c r="B285" s="5">
        <v>0</v>
      </c>
    </row>
    <row r="286" spans="1:2" x14ac:dyDescent="0.45">
      <c r="A286" s="5">
        <f>E1 + 284*E3</f>
        <v>3.8666666666666667</v>
      </c>
      <c r="B286" s="5">
        <v>0</v>
      </c>
    </row>
    <row r="287" spans="1:2" x14ac:dyDescent="0.45">
      <c r="A287" s="5">
        <f>E1 + 285*E3</f>
        <v>3.875</v>
      </c>
      <c r="B287" s="5">
        <v>0</v>
      </c>
    </row>
    <row r="288" spans="1:2" x14ac:dyDescent="0.45">
      <c r="A288" s="5">
        <f>E1 + 286*E3</f>
        <v>3.8833333333333333</v>
      </c>
      <c r="B288" s="5">
        <v>0</v>
      </c>
    </row>
    <row r="289" spans="1:2" x14ac:dyDescent="0.45">
      <c r="A289" s="5">
        <f>E1 + 287*E3</f>
        <v>3.8916666666666666</v>
      </c>
      <c r="B289" s="5">
        <v>0</v>
      </c>
    </row>
    <row r="290" spans="1:2" x14ac:dyDescent="0.45">
      <c r="A290" s="5">
        <f>E1 + 288*E3</f>
        <v>3.9</v>
      </c>
      <c r="B290" s="5">
        <v>0</v>
      </c>
    </row>
    <row r="291" spans="1:2" x14ac:dyDescent="0.45">
      <c r="A291" s="5">
        <f>E1 + 289*E3</f>
        <v>3.9083333333333332</v>
      </c>
      <c r="B291" s="5">
        <v>0</v>
      </c>
    </row>
    <row r="292" spans="1:2" x14ac:dyDescent="0.45">
      <c r="A292" s="5">
        <f>E1 + 290*E3</f>
        <v>3.9166666666666665</v>
      </c>
      <c r="B292" s="5">
        <v>0</v>
      </c>
    </row>
    <row r="293" spans="1:2" x14ac:dyDescent="0.45">
      <c r="A293" s="5">
        <f>E1 + 291*E3</f>
        <v>3.9249999999999998</v>
      </c>
      <c r="B293" s="5">
        <v>0</v>
      </c>
    </row>
    <row r="294" spans="1:2" x14ac:dyDescent="0.45">
      <c r="A294" s="5">
        <f>E1 + 292*E3</f>
        <v>3.9333333333333331</v>
      </c>
      <c r="B294" s="5">
        <v>0</v>
      </c>
    </row>
    <row r="295" spans="1:2" x14ac:dyDescent="0.45">
      <c r="A295" s="5">
        <f>E1 + 293*E3</f>
        <v>3.9416666666666664</v>
      </c>
      <c r="B295" s="5">
        <v>0</v>
      </c>
    </row>
    <row r="296" spans="1:2" x14ac:dyDescent="0.45">
      <c r="A296" s="5">
        <f>E1 + 294*E3</f>
        <v>3.95</v>
      </c>
      <c r="B296" s="5">
        <v>0</v>
      </c>
    </row>
    <row r="297" spans="1:2" x14ac:dyDescent="0.45">
      <c r="A297" s="5">
        <f>E1 + 295*E3</f>
        <v>3.9583333333333335</v>
      </c>
      <c r="B297" s="5">
        <v>0</v>
      </c>
    </row>
    <row r="298" spans="1:2" x14ac:dyDescent="0.45">
      <c r="A298" s="5">
        <f>E1 + 296*E3</f>
        <v>3.9666666666666668</v>
      </c>
      <c r="B298" s="5">
        <v>0</v>
      </c>
    </row>
    <row r="299" spans="1:2" x14ac:dyDescent="0.45">
      <c r="A299" s="5">
        <f>E1 + 297*E3</f>
        <v>3.9750000000000001</v>
      </c>
      <c r="B299" s="5">
        <v>0</v>
      </c>
    </row>
    <row r="300" spans="1:2" x14ac:dyDescent="0.45">
      <c r="A300" s="5">
        <f>E1 + 298*E3</f>
        <v>3.9833333333333334</v>
      </c>
      <c r="B300" s="5">
        <v>0</v>
      </c>
    </row>
    <row r="301" spans="1:2" x14ac:dyDescent="0.45">
      <c r="A301" s="5">
        <f>E1 + 299*E3</f>
        <v>3.9916666666666667</v>
      </c>
      <c r="B301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2"/>
  <sheetViews>
    <sheetView workbookViewId="0"/>
  </sheetViews>
  <sheetFormatPr defaultRowHeight="14.25" x14ac:dyDescent="0.45"/>
  <cols>
    <col min="1" max="2" width="16.73046875" customWidth="1"/>
  </cols>
  <sheetData>
    <row r="1" spans="1:2" x14ac:dyDescent="0.45">
      <c r="A1" s="4" t="s">
        <v>35</v>
      </c>
      <c r="B1" s="4" t="s">
        <v>36</v>
      </c>
    </row>
    <row r="2" spans="1:2" x14ac:dyDescent="0.45">
      <c r="A2" s="5">
        <v>1.5</v>
      </c>
      <c r="B2" s="5">
        <v>2.6920645048382248</v>
      </c>
    </row>
    <row r="3" spans="1:2" x14ac:dyDescent="0.45">
      <c r="A3" s="5">
        <v>1.51</v>
      </c>
      <c r="B3" s="5">
        <v>2.678918045543258</v>
      </c>
    </row>
    <row r="4" spans="1:2" x14ac:dyDescent="0.45">
      <c r="A4" s="5">
        <v>1.52</v>
      </c>
      <c r="B4" s="5">
        <v>2.6657135957032811</v>
      </c>
    </row>
    <row r="5" spans="1:2" x14ac:dyDescent="0.45">
      <c r="A5" s="5">
        <v>1.53</v>
      </c>
      <c r="B5" s="5">
        <v>2.6524567916164892</v>
      </c>
    </row>
    <row r="6" spans="1:2" x14ac:dyDescent="0.45">
      <c r="A6" s="5">
        <v>1.54</v>
      </c>
      <c r="B6" s="5">
        <v>2.6391530070794889</v>
      </c>
    </row>
    <row r="7" spans="1:2" x14ac:dyDescent="0.45">
      <c r="A7" s="5">
        <v>1.55</v>
      </c>
      <c r="B7" s="5">
        <v>2.625807365576232</v>
      </c>
    </row>
    <row r="8" spans="1:2" x14ac:dyDescent="0.45">
      <c r="A8" s="5">
        <v>1.56</v>
      </c>
      <c r="B8" s="5">
        <v>2.6124247518559249</v>
      </c>
    </row>
    <row r="9" spans="1:2" x14ac:dyDescent="0.45">
      <c r="A9" s="5">
        <v>1.57</v>
      </c>
      <c r="B9" s="5">
        <v>2.599009822933489</v>
      </c>
    </row>
    <row r="10" spans="1:2" x14ac:dyDescent="0.45">
      <c r="A10" s="5">
        <v>1.58</v>
      </c>
      <c r="B10" s="5">
        <v>2.5855670185440802</v>
      </c>
    </row>
    <row r="11" spans="1:2" x14ac:dyDescent="0.45">
      <c r="A11" s="5">
        <v>1.59</v>
      </c>
      <c r="B11" s="5">
        <v>2.572100571081295</v>
      </c>
    </row>
    <row r="12" spans="1:2" x14ac:dyDescent="0.45">
      <c r="A12" s="5">
        <v>1.6</v>
      </c>
      <c r="B12" s="5">
        <v>2.5586145150469952</v>
      </c>
    </row>
    <row r="13" spans="1:2" x14ac:dyDescent="0.45">
      <c r="A13" s="5">
        <v>1.61</v>
      </c>
      <c r="B13" s="5">
        <v>2.5451126960389212</v>
      </c>
    </row>
    <row r="14" spans="1:2" x14ac:dyDescent="0.45">
      <c r="A14" s="5">
        <v>1.62</v>
      </c>
      <c r="B14" s="5">
        <v>2.5315987793008592</v>
      </c>
    </row>
    <row r="15" spans="1:2" x14ac:dyDescent="0.45">
      <c r="A15" s="5">
        <v>1.63</v>
      </c>
      <c r="B15" s="5">
        <v>2.5180762578585409</v>
      </c>
    </row>
    <row r="16" spans="1:2" x14ac:dyDescent="0.45">
      <c r="A16" s="5">
        <v>1.64</v>
      </c>
      <c r="B16" s="5">
        <v>2.5045484602632508</v>
      </c>
    </row>
    <row r="17" spans="1:2" x14ac:dyDescent="0.45">
      <c r="A17" s="5">
        <v>1.65</v>
      </c>
      <c r="B17" s="5">
        <v>2.4910185579637201</v>
      </c>
    </row>
    <row r="18" spans="1:2" x14ac:dyDescent="0.45">
      <c r="A18" s="5">
        <v>1.66</v>
      </c>
      <c r="B18" s="5">
        <v>2.477489572325779</v>
      </c>
    </row>
    <row r="19" spans="1:2" x14ac:dyDescent="0.45">
      <c r="A19" s="5">
        <v>1.67</v>
      </c>
      <c r="B19" s="5">
        <v>2.4639643813181191</v>
      </c>
    </row>
    <row r="20" spans="1:2" x14ac:dyDescent="0.45">
      <c r="A20" s="5">
        <v>1.68</v>
      </c>
      <c r="B20" s="5">
        <v>2.4504457258814449</v>
      </c>
    </row>
    <row r="21" spans="1:2" x14ac:dyDescent="0.45">
      <c r="A21" s="5">
        <v>1.69</v>
      </c>
      <c r="B21" s="5">
        <v>2.4369362159973318</v>
      </c>
    </row>
    <row r="22" spans="1:2" x14ac:dyDescent="0.45">
      <c r="A22" s="5">
        <v>1.7</v>
      </c>
      <c r="B22" s="5">
        <v>2.4234383364722039</v>
      </c>
    </row>
    <row r="23" spans="1:2" x14ac:dyDescent="0.45">
      <c r="A23" s="5">
        <v>1.71</v>
      </c>
      <c r="B23" s="5">
        <v>2.4099544524509628</v>
      </c>
    </row>
    <row r="24" spans="1:2" x14ac:dyDescent="0.45">
      <c r="A24" s="5">
        <v>1.72</v>
      </c>
      <c r="B24" s="5">
        <v>2.3964868146739948</v>
      </c>
    </row>
    <row r="25" spans="1:2" x14ac:dyDescent="0.45">
      <c r="A25" s="5">
        <v>1.73</v>
      </c>
      <c r="B25" s="5">
        <v>2.3830375644905408</v>
      </c>
    </row>
    <row r="26" spans="1:2" x14ac:dyDescent="0.45">
      <c r="A26" s="5">
        <v>1.74</v>
      </c>
      <c r="B26" s="5">
        <v>2.3696087386406499</v>
      </c>
    </row>
    <row r="27" spans="1:2" x14ac:dyDescent="0.45">
      <c r="A27" s="5">
        <v>1.75</v>
      </c>
      <c r="B27" s="5">
        <v>2.3562022738173458</v>
      </c>
    </row>
    <row r="28" spans="1:2" x14ac:dyDescent="0.45">
      <c r="A28" s="5">
        <v>1.76</v>
      </c>
      <c r="B28" s="5">
        <v>2.3428200110199242</v>
      </c>
    </row>
    <row r="29" spans="1:2" x14ac:dyDescent="0.45">
      <c r="A29" s="5">
        <v>1.77</v>
      </c>
      <c r="B29" s="5">
        <v>2.329463699708739</v>
      </c>
    </row>
    <row r="30" spans="1:2" x14ac:dyDescent="0.45">
      <c r="A30" s="5">
        <v>1.78</v>
      </c>
      <c r="B30" s="5">
        <v>2.3161350017713058</v>
      </c>
    </row>
    <row r="31" spans="1:2" x14ac:dyDescent="0.45">
      <c r="A31" s="5">
        <v>1.79</v>
      </c>
      <c r="B31" s="5">
        <v>2.302835495308948</v>
      </c>
    </row>
    <row r="32" spans="1:2" x14ac:dyDescent="0.45">
      <c r="A32" s="5">
        <v>1.8</v>
      </c>
      <c r="B32" s="5">
        <v>2.289566678252807</v>
      </c>
    </row>
    <row r="33" spans="1:2" x14ac:dyDescent="0.45">
      <c r="A33" s="5">
        <v>1.81</v>
      </c>
      <c r="B33" s="5">
        <v>2.2763299718174941</v>
      </c>
    </row>
    <row r="34" spans="1:2" x14ac:dyDescent="0.45">
      <c r="A34" s="5">
        <v>1.82</v>
      </c>
      <c r="B34" s="5">
        <v>2.2631267238002621</v>
      </c>
    </row>
    <row r="35" spans="1:2" x14ac:dyDescent="0.45">
      <c r="A35" s="5">
        <v>1.83</v>
      </c>
      <c r="B35" s="5">
        <v>2.249958211733162</v>
      </c>
    </row>
    <row r="36" spans="1:2" x14ac:dyDescent="0.45">
      <c r="A36" s="5">
        <v>1.84</v>
      </c>
      <c r="B36" s="5">
        <v>2.236825645895228</v>
      </c>
    </row>
    <row r="37" spans="1:2" x14ac:dyDescent="0.45">
      <c r="A37" s="5">
        <v>1.85</v>
      </c>
      <c r="B37" s="5">
        <v>2.2237301721914049</v>
      </c>
    </row>
    <row r="38" spans="1:2" x14ac:dyDescent="0.45">
      <c r="A38" s="5">
        <v>1.86</v>
      </c>
      <c r="B38" s="5">
        <v>2.2106728749045499</v>
      </c>
    </row>
    <row r="39" spans="1:2" x14ac:dyDescent="0.45">
      <c r="A39" s="5">
        <v>1.87</v>
      </c>
      <c r="B39" s="5">
        <v>2.1976547793265411</v>
      </c>
    </row>
    <row r="40" spans="1:2" x14ac:dyDescent="0.45">
      <c r="A40" s="5">
        <v>1.88</v>
      </c>
      <c r="B40" s="5">
        <v>2.1846768542741861</v>
      </c>
    </row>
    <row r="41" spans="1:2" x14ac:dyDescent="0.45">
      <c r="A41" s="5">
        <v>1.89</v>
      </c>
      <c r="B41" s="5">
        <v>2.1717400144953629</v>
      </c>
    </row>
    <row r="42" spans="1:2" x14ac:dyDescent="0.45">
      <c r="A42" s="5">
        <v>1.9</v>
      </c>
      <c r="B42" s="5">
        <v>2.1588451229705221</v>
      </c>
    </row>
    <row r="43" spans="1:2" x14ac:dyDescent="0.45">
      <c r="A43" s="5">
        <v>1.91</v>
      </c>
      <c r="B43" s="5">
        <v>2.1459929931144401</v>
      </c>
    </row>
    <row r="44" spans="1:2" x14ac:dyDescent="0.45">
      <c r="A44" s="5">
        <v>1.92</v>
      </c>
      <c r="B44" s="5">
        <v>2.1331843908828381</v>
      </c>
    </row>
    <row r="45" spans="1:2" x14ac:dyDescent="0.45">
      <c r="A45" s="5">
        <v>1.93</v>
      </c>
      <c r="B45" s="5">
        <v>2.1204200367882891</v>
      </c>
    </row>
    <row r="46" spans="1:2" x14ac:dyDescent="0.45">
      <c r="A46" s="5">
        <v>1.94</v>
      </c>
      <c r="B46" s="5">
        <v>2.1077006078295781</v>
      </c>
    </row>
    <row r="47" spans="1:2" x14ac:dyDescent="0.45">
      <c r="A47" s="5">
        <v>1.95</v>
      </c>
      <c r="B47" s="5">
        <v>2.0950267393384898</v>
      </c>
    </row>
    <row r="48" spans="1:2" x14ac:dyDescent="0.45">
      <c r="A48" s="5">
        <v>1.96</v>
      </c>
      <c r="B48" s="5">
        <v>2.0823990267477899</v>
      </c>
    </row>
    <row r="49" spans="1:2" x14ac:dyDescent="0.45">
      <c r="A49" s="5">
        <v>1.97</v>
      </c>
      <c r="B49" s="5">
        <v>2.0698180272840112</v>
      </c>
    </row>
    <row r="50" spans="1:2" x14ac:dyDescent="0.45">
      <c r="A50" s="5">
        <v>1.98</v>
      </c>
      <c r="B50" s="5">
        <v>2.0572842615884159</v>
      </c>
    </row>
    <row r="51" spans="1:2" x14ac:dyDescent="0.45">
      <c r="A51" s="5">
        <v>1.99</v>
      </c>
      <c r="B51" s="5">
        <v>2.0447982152694211</v>
      </c>
    </row>
    <row r="52" spans="1:2" x14ac:dyDescent="0.45">
      <c r="A52" s="5">
        <v>2</v>
      </c>
      <c r="B52" s="5">
        <v>2.0323603403895349</v>
      </c>
    </row>
    <row r="53" spans="1:2" x14ac:dyDescent="0.45">
      <c r="A53" s="5">
        <v>2.0099999999999998</v>
      </c>
      <c r="B53" s="5">
        <v>2.019971056889768</v>
      </c>
    </row>
    <row r="54" spans="1:2" x14ac:dyDescent="0.45">
      <c r="A54" s="5">
        <v>2.02</v>
      </c>
      <c r="B54" s="5">
        <v>2.0076307539542841</v>
      </c>
    </row>
    <row r="55" spans="1:2" x14ac:dyDescent="0.45">
      <c r="A55" s="5">
        <v>2.0299999999999998</v>
      </c>
      <c r="B55" s="5">
        <v>1.995339791317982</v>
      </c>
    </row>
    <row r="56" spans="1:2" x14ac:dyDescent="0.45">
      <c r="A56" s="5">
        <v>2.04</v>
      </c>
      <c r="B56" s="5">
        <v>1.983098500519507</v>
      </c>
    </row>
    <row r="57" spans="1:2" x14ac:dyDescent="0.45">
      <c r="A57" s="5">
        <v>2.0499999999999998</v>
      </c>
      <c r="B57" s="5">
        <v>1.9709071861021279</v>
      </c>
    </row>
    <row r="58" spans="1:2" x14ac:dyDescent="0.45">
      <c r="A58" s="5">
        <v>2.06</v>
      </c>
      <c r="B58" s="5">
        <v>1.958766126764752</v>
      </c>
    </row>
    <row r="59" spans="1:2" x14ac:dyDescent="0.45">
      <c r="A59" s="5">
        <v>2.0699999999999998</v>
      </c>
      <c r="B59" s="5">
        <v>1.946675576465289</v>
      </c>
    </row>
    <row r="60" spans="1:2" x14ac:dyDescent="0.45">
      <c r="A60" s="5">
        <v>2.08</v>
      </c>
      <c r="B60" s="5">
        <v>1.934635765478419</v>
      </c>
    </row>
    <row r="61" spans="1:2" x14ac:dyDescent="0.45">
      <c r="A61" s="5">
        <v>2.09</v>
      </c>
      <c r="B61" s="5">
        <v>1.9226469014097769</v>
      </c>
    </row>
    <row r="62" spans="1:2" x14ac:dyDescent="0.45">
      <c r="A62" s="5">
        <v>2.1</v>
      </c>
      <c r="B62" s="5">
        <v>1.910709170168426</v>
      </c>
    </row>
    <row r="63" spans="1:2" x14ac:dyDescent="0.45">
      <c r="A63" s="5">
        <v>2.11</v>
      </c>
      <c r="B63" s="5">
        <v>1.898822736899435</v>
      </c>
    </row>
    <row r="64" spans="1:2" x14ac:dyDescent="0.45">
      <c r="A64" s="5">
        <v>2.12</v>
      </c>
      <c r="B64" s="5">
        <v>1.886987746878269</v>
      </c>
    </row>
    <row r="65" spans="1:2" x14ac:dyDescent="0.45">
      <c r="A65" s="5">
        <v>2.13</v>
      </c>
      <c r="B65" s="5">
        <v>1.875204326368646</v>
      </c>
    </row>
    <row r="66" spans="1:2" x14ac:dyDescent="0.45">
      <c r="A66" s="5">
        <v>2.14</v>
      </c>
      <c r="B66" s="5">
        <v>1.863472583445416</v>
      </c>
    </row>
    <row r="67" spans="1:2" x14ac:dyDescent="0.45">
      <c r="A67" s="5">
        <v>2.15</v>
      </c>
      <c r="B67" s="5">
        <v>1.8517926087839569</v>
      </c>
    </row>
    <row r="68" spans="1:2" x14ac:dyDescent="0.45">
      <c r="A68" s="5">
        <v>2.16</v>
      </c>
      <c r="B68" s="5">
        <v>1.840164476417516</v>
      </c>
    </row>
    <row r="69" spans="1:2" x14ac:dyDescent="0.45">
      <c r="A69" s="5">
        <v>2.17</v>
      </c>
      <c r="B69" s="5">
        <v>1.8285882444638399</v>
      </c>
    </row>
    <row r="70" spans="1:2" x14ac:dyDescent="0.45">
      <c r="A70" s="5">
        <v>2.1800000000000002</v>
      </c>
      <c r="B70" s="5">
        <v>1.8170639558224271</v>
      </c>
    </row>
    <row r="71" spans="1:2" x14ac:dyDescent="0.45">
      <c r="A71" s="5">
        <v>2.19</v>
      </c>
      <c r="B71" s="5">
        <v>1.8055916388435851</v>
      </c>
    </row>
    <row r="72" spans="1:2" x14ac:dyDescent="0.45">
      <c r="A72" s="5">
        <v>2.2000000000000002</v>
      </c>
      <c r="B72" s="5">
        <v>1.7941713079705459</v>
      </c>
    </row>
    <row r="73" spans="1:2" x14ac:dyDescent="0.45">
      <c r="A73" s="5">
        <v>2.21</v>
      </c>
      <c r="B73" s="5">
        <v>1.782802964355698</v>
      </c>
    </row>
    <row r="74" spans="1:2" x14ac:dyDescent="0.45">
      <c r="A74" s="5">
        <v>2.2200000000000002</v>
      </c>
      <c r="B74" s="5">
        <v>1.771486596452071</v>
      </c>
    </row>
    <row r="75" spans="1:2" x14ac:dyDescent="0.45">
      <c r="A75" s="5">
        <v>2.23</v>
      </c>
      <c r="B75" s="5">
        <v>1.7602221805810709</v>
      </c>
    </row>
    <row r="76" spans="1:2" x14ac:dyDescent="0.45">
      <c r="A76" s="5">
        <v>2.2400000000000002</v>
      </c>
      <c r="B76" s="5">
        <v>1.749009681477466</v>
      </c>
    </row>
    <row r="77" spans="1:2" x14ac:dyDescent="0.45">
      <c r="A77" s="5">
        <v>2.25</v>
      </c>
      <c r="B77" s="5">
        <v>1.7378490528125541</v>
      </c>
    </row>
    <row r="78" spans="1:2" x14ac:dyDescent="0.45">
      <c r="A78" s="5">
        <v>2.2599999999999998</v>
      </c>
      <c r="B78" s="5">
        <v>1.7267402376964289</v>
      </c>
    </row>
    <row r="79" spans="1:2" x14ac:dyDescent="0.45">
      <c r="A79" s="5">
        <v>2.27</v>
      </c>
      <c r="B79" s="5">
        <v>1.715683169160183</v>
      </c>
    </row>
    <row r="80" spans="1:2" x14ac:dyDescent="0.45">
      <c r="A80" s="5">
        <v>2.2799999999999998</v>
      </c>
      <c r="B80" s="5">
        <v>1.7046777706188889</v>
      </c>
    </row>
    <row r="81" spans="1:2" x14ac:dyDescent="0.45">
      <c r="A81" s="5">
        <v>2.29</v>
      </c>
      <c r="B81" s="5">
        <v>1.6937239563161379</v>
      </c>
    </row>
    <row r="82" spans="1:2" x14ac:dyDescent="0.45">
      <c r="A82" s="5">
        <v>2.2999999999999998</v>
      </c>
      <c r="B82" s="5">
        <v>1.6828216317508859</v>
      </c>
    </row>
    <row r="83" spans="1:2" x14ac:dyDescent="0.45">
      <c r="A83" s="5">
        <v>2.31</v>
      </c>
      <c r="B83" s="5">
        <v>1.671970694087332</v>
      </c>
    </row>
    <row r="84" spans="1:2" x14ac:dyDescent="0.45">
      <c r="A84" s="5">
        <v>2.3199999999999998</v>
      </c>
      <c r="B84" s="5">
        <v>1.6611710325485181</v>
      </c>
    </row>
    <row r="85" spans="1:2" x14ac:dyDescent="0.45">
      <c r="A85" s="5">
        <v>2.33</v>
      </c>
      <c r="B85" s="5">
        <v>1.6504225287943</v>
      </c>
    </row>
    <row r="86" spans="1:2" x14ac:dyDescent="0.45">
      <c r="A86" s="5">
        <v>2.34</v>
      </c>
      <c r="B86" s="5">
        <v>1.6397250572843349</v>
      </c>
    </row>
    <row r="87" spans="1:2" x14ac:dyDescent="0.45">
      <c r="A87" s="5">
        <v>2.35</v>
      </c>
      <c r="B87" s="5">
        <v>1.6290784856266789</v>
      </c>
    </row>
    <row r="88" spans="1:2" x14ac:dyDescent="0.45">
      <c r="A88" s="5">
        <v>2.36</v>
      </c>
      <c r="B88" s="5">
        <v>1.618482674912572</v>
      </c>
    </row>
    <row r="89" spans="1:2" x14ac:dyDescent="0.45">
      <c r="A89" s="5">
        <v>2.37</v>
      </c>
      <c r="B89" s="5">
        <v>1.607937480037974</v>
      </c>
    </row>
    <row r="90" spans="1:2" x14ac:dyDescent="0.45">
      <c r="A90" s="5">
        <v>2.38</v>
      </c>
      <c r="B90" s="5">
        <v>1.597442750012364</v>
      </c>
    </row>
    <row r="91" spans="1:2" x14ac:dyDescent="0.45">
      <c r="A91" s="5">
        <v>2.39</v>
      </c>
      <c r="B91" s="5">
        <v>1.5869983282553279</v>
      </c>
    </row>
    <row r="92" spans="1:2" x14ac:dyDescent="0.45">
      <c r="A92" s="5">
        <v>2.4</v>
      </c>
      <c r="B92" s="5">
        <v>1.576604052881424</v>
      </c>
    </row>
    <row r="93" spans="1:2" x14ac:dyDescent="0.45">
      <c r="A93" s="5">
        <v>2.41</v>
      </c>
      <c r="B93" s="5">
        <v>1.566259756973748</v>
      </c>
    </row>
    <row r="94" spans="1:2" x14ac:dyDescent="0.45">
      <c r="A94" s="5">
        <v>2.42</v>
      </c>
      <c r="B94" s="5">
        <v>1.555965268846726</v>
      </c>
    </row>
    <row r="95" spans="1:2" x14ac:dyDescent="0.45">
      <c r="A95" s="5">
        <v>2.4300000000000002</v>
      </c>
      <c r="B95" s="5">
        <v>1.545720412298464</v>
      </c>
    </row>
    <row r="96" spans="1:2" x14ac:dyDescent="0.45">
      <c r="A96" s="5">
        <v>2.44</v>
      </c>
      <c r="B96" s="5">
        <v>1.535525006853155</v>
      </c>
    </row>
    <row r="97" spans="1:2" x14ac:dyDescent="0.45">
      <c r="A97" s="5">
        <v>2.4500000000000002</v>
      </c>
      <c r="B97" s="5">
        <v>1.525378867993864</v>
      </c>
    </row>
    <row r="98" spans="1:2" x14ac:dyDescent="0.45">
      <c r="A98" s="5">
        <v>2.46</v>
      </c>
      <c r="B98" s="5">
        <v>1.5152818073861309</v>
      </c>
    </row>
    <row r="99" spans="1:2" x14ac:dyDescent="0.45">
      <c r="A99" s="5">
        <v>2.4700000000000002</v>
      </c>
      <c r="B99" s="5">
        <v>1.505233633092683</v>
      </c>
    </row>
    <row r="100" spans="1:2" x14ac:dyDescent="0.45">
      <c r="A100" s="5">
        <v>2.48</v>
      </c>
      <c r="B100" s="5">
        <v>1.495234149779672</v>
      </c>
    </row>
    <row r="101" spans="1:2" x14ac:dyDescent="0.45">
      <c r="A101" s="5">
        <v>2.4900000000000002</v>
      </c>
      <c r="B101" s="5">
        <v>1.485283158914716</v>
      </c>
    </row>
    <row r="102" spans="1:2" x14ac:dyDescent="0.45">
      <c r="A102" s="5">
        <v>2.5</v>
      </c>
      <c r="B102" s="5">
        <v>1.4753804589570989</v>
      </c>
    </row>
    <row r="103" spans="1:2" x14ac:dyDescent="0.45">
      <c r="A103" s="5">
        <v>2.5099999999999998</v>
      </c>
      <c r="B103" s="5">
        <v>1.4655258455404061</v>
      </c>
    </row>
    <row r="104" spans="1:2" x14ac:dyDescent="0.45">
      <c r="A104" s="5">
        <v>2.52</v>
      </c>
      <c r="B104" s="5">
        <v>1.455719111647904</v>
      </c>
    </row>
    <row r="105" spans="1:2" x14ac:dyDescent="0.45">
      <c r="A105" s="5">
        <v>2.5299999999999998</v>
      </c>
      <c r="B105" s="5">
        <v>1.445960047780952</v>
      </c>
    </row>
    <row r="106" spans="1:2" x14ac:dyDescent="0.45">
      <c r="A106" s="5">
        <v>2.54</v>
      </c>
      <c r="B106" s="5">
        <v>1.4362484421206889</v>
      </c>
    </row>
    <row r="107" spans="1:2" x14ac:dyDescent="0.45">
      <c r="A107" s="5">
        <v>2.5499999999999998</v>
      </c>
      <c r="B107" s="5">
        <v>1.4265840806832879</v>
      </c>
    </row>
    <row r="108" spans="1:2" x14ac:dyDescent="0.45">
      <c r="A108" s="5">
        <v>2.56</v>
      </c>
      <c r="B108" s="5">
        <v>1.416966747468998</v>
      </c>
    </row>
    <row r="109" spans="1:2" x14ac:dyDescent="0.45">
      <c r="A109" s="5">
        <v>2.57</v>
      </c>
      <c r="B109" s="5">
        <v>1.407396224605227</v>
      </c>
    </row>
    <row r="110" spans="1:2" x14ac:dyDescent="0.45">
      <c r="A110" s="5">
        <v>2.58</v>
      </c>
      <c r="B110" s="5">
        <v>1.3978722924838971</v>
      </c>
    </row>
    <row r="111" spans="1:2" x14ac:dyDescent="0.45">
      <c r="A111" s="5">
        <v>2.59</v>
      </c>
      <c r="B111" s="5">
        <v>1.388394729893272</v>
      </c>
    </row>
    <row r="112" spans="1:2" x14ac:dyDescent="0.45">
      <c r="A112" s="5">
        <v>2.6</v>
      </c>
      <c r="B112" s="5">
        <v>1.3789633141444979</v>
      </c>
    </row>
    <row r="113" spans="1:2" x14ac:dyDescent="0.45">
      <c r="A113" s="5">
        <v>2.61</v>
      </c>
      <c r="B113" s="5">
        <v>1.3695778211930321</v>
      </c>
    </row>
    <row r="114" spans="1:2" x14ac:dyDescent="0.45">
      <c r="A114" s="5">
        <v>2.62</v>
      </c>
      <c r="B114" s="5">
        <v>1.3602380257551709</v>
      </c>
    </row>
    <row r="115" spans="1:2" x14ac:dyDescent="0.45">
      <c r="A115" s="5">
        <v>2.63</v>
      </c>
      <c r="B115" s="5">
        <v>1.3509437014198631</v>
      </c>
    </row>
    <row r="116" spans="1:2" x14ac:dyDescent="0.45">
      <c r="A116" s="5">
        <v>2.64</v>
      </c>
      <c r="B116" s="5">
        <v>1.341694620755969</v>
      </c>
    </row>
    <row r="117" spans="1:2" x14ac:dyDescent="0.45">
      <c r="A117" s="5">
        <v>2.65</v>
      </c>
      <c r="B117" s="5">
        <v>1.332490555415172</v>
      </c>
    </row>
    <row r="118" spans="1:2" x14ac:dyDescent="0.45">
      <c r="A118" s="5">
        <v>2.66</v>
      </c>
      <c r="B118" s="5">
        <v>1.323331276230679</v>
      </c>
    </row>
    <row r="119" spans="1:2" x14ac:dyDescent="0.45">
      <c r="A119" s="5">
        <v>2.67</v>
      </c>
      <c r="B119" s="5">
        <v>1.3142165533118779</v>
      </c>
    </row>
    <row r="120" spans="1:2" x14ac:dyDescent="0.45">
      <c r="A120" s="5">
        <v>2.68</v>
      </c>
      <c r="B120" s="5">
        <v>1.3051461561351081</v>
      </c>
    </row>
    <row r="121" spans="1:2" x14ac:dyDescent="0.45">
      <c r="A121" s="5">
        <v>2.69</v>
      </c>
      <c r="B121" s="5">
        <v>1.296119853630693</v>
      </c>
    </row>
    <row r="122" spans="1:2" x14ac:dyDescent="0.45">
      <c r="A122" s="5">
        <v>2.7</v>
      </c>
      <c r="B122" s="5">
        <v>1.287137414266365</v>
      </c>
    </row>
    <row r="123" spans="1:2" x14ac:dyDescent="0.45">
      <c r="A123" s="5">
        <v>2.71</v>
      </c>
      <c r="B123" s="5">
        <v>1.2781986061272399</v>
      </c>
    </row>
    <row r="124" spans="1:2" x14ac:dyDescent="0.45">
      <c r="A124" s="5">
        <v>2.72</v>
      </c>
      <c r="B124" s="5">
        <v>1.2693031969924331</v>
      </c>
    </row>
    <row r="125" spans="1:2" x14ac:dyDescent="0.45">
      <c r="A125" s="5">
        <v>2.73</v>
      </c>
      <c r="B125" s="5">
        <v>1.260450954408495</v>
      </c>
    </row>
    <row r="126" spans="1:2" x14ac:dyDescent="0.45">
      <c r="A126" s="5">
        <v>2.74</v>
      </c>
      <c r="B126" s="5">
        <v>1.2516416457597399</v>
      </c>
    </row>
    <row r="127" spans="1:2" x14ac:dyDescent="0.45">
      <c r="A127" s="5">
        <v>2.75</v>
      </c>
      <c r="B127" s="5">
        <v>1.242875038335614</v>
      </c>
    </row>
    <row r="128" spans="1:2" x14ac:dyDescent="0.45">
      <c r="A128" s="5">
        <v>2.76</v>
      </c>
      <c r="B128" s="5">
        <v>1.234150899395196</v>
      </c>
    </row>
    <row r="129" spans="1:2" x14ac:dyDescent="0.45">
      <c r="A129" s="5">
        <v>2.77</v>
      </c>
      <c r="B129" s="5">
        <v>1.225468996228948</v>
      </c>
    </row>
    <row r="130" spans="1:2" x14ac:dyDescent="0.45">
      <c r="A130" s="5">
        <v>2.78</v>
      </c>
      <c r="B130" s="5">
        <v>1.216829096217827</v>
      </c>
    </row>
    <row r="131" spans="1:2" x14ac:dyDescent="0.45">
      <c r="A131" s="5">
        <v>2.79</v>
      </c>
      <c r="B131" s="5">
        <v>1.2082309668898279</v>
      </c>
    </row>
    <row r="132" spans="1:2" x14ac:dyDescent="0.45">
      <c r="A132" s="5">
        <v>2.8</v>
      </c>
      <c r="B132" s="5">
        <v>1.1996743759740911</v>
      </c>
    </row>
    <row r="133" spans="1:2" x14ac:dyDescent="0.45">
      <c r="A133" s="5">
        <v>2.81</v>
      </c>
      <c r="B133" s="5">
        <v>1.191159091452632</v>
      </c>
    </row>
    <row r="134" spans="1:2" x14ac:dyDescent="0.45">
      <c r="A134" s="5">
        <v>2.82</v>
      </c>
      <c r="B134" s="5">
        <v>1.182684881609815</v>
      </c>
    </row>
    <row r="135" spans="1:2" x14ac:dyDescent="0.45">
      <c r="A135" s="5">
        <v>2.83</v>
      </c>
      <c r="B135" s="5">
        <v>1.174251515079618</v>
      </c>
    </row>
    <row r="136" spans="1:2" x14ac:dyDescent="0.45">
      <c r="A136" s="5">
        <v>2.84</v>
      </c>
      <c r="B136" s="5">
        <v>1.16585876089081</v>
      </c>
    </row>
    <row r="137" spans="1:2" x14ac:dyDescent="0.45">
      <c r="A137" s="5">
        <v>2.85</v>
      </c>
      <c r="B137" s="5">
        <v>1.1575063885100869</v>
      </c>
    </row>
    <row r="138" spans="1:2" x14ac:dyDescent="0.45">
      <c r="A138" s="5">
        <v>2.86</v>
      </c>
      <c r="B138" s="5">
        <v>1.1491941678832629</v>
      </c>
    </row>
    <row r="139" spans="1:2" x14ac:dyDescent="0.45">
      <c r="A139" s="5">
        <v>2.87</v>
      </c>
      <c r="B139" s="5">
        <v>1.1409218694745851</v>
      </c>
    </row>
    <row r="140" spans="1:2" x14ac:dyDescent="0.45">
      <c r="A140" s="5">
        <v>2.88</v>
      </c>
      <c r="B140" s="5">
        <v>1.1326892643042259</v>
      </c>
    </row>
    <row r="141" spans="1:2" x14ac:dyDescent="0.45">
      <c r="A141" s="5">
        <v>2.89</v>
      </c>
      <c r="B141" s="5">
        <v>1.1244961239840561</v>
      </c>
    </row>
    <row r="142" spans="1:2" x14ac:dyDescent="0.45">
      <c r="A142" s="5">
        <v>2.9</v>
      </c>
      <c r="B142" s="5">
        <v>1.116342220751724</v>
      </c>
    </row>
    <row r="143" spans="1:2" x14ac:dyDescent="0.45">
      <c r="A143" s="5">
        <v>2.91</v>
      </c>
      <c r="B143" s="5">
        <v>1.1082273275031309</v>
      </c>
    </row>
    <row r="144" spans="1:2" x14ac:dyDescent="0.45">
      <c r="A144" s="5">
        <v>2.92</v>
      </c>
      <c r="B144" s="5">
        <v>1.100151217823353</v>
      </c>
    </row>
    <row r="145" spans="1:2" x14ac:dyDescent="0.45">
      <c r="A145" s="5">
        <v>2.93</v>
      </c>
      <c r="B145" s="5">
        <v>1.0921136660160631</v>
      </c>
    </row>
    <row r="146" spans="1:2" x14ac:dyDescent="0.45">
      <c r="A146" s="5">
        <v>2.94</v>
      </c>
      <c r="B146" s="5">
        <v>1.0841144471315269</v>
      </c>
    </row>
    <row r="147" spans="1:2" x14ac:dyDescent="0.45">
      <c r="A147" s="5">
        <v>2.95</v>
      </c>
      <c r="B147" s="5">
        <v>1.076153336993201</v>
      </c>
    </row>
    <row r="148" spans="1:2" x14ac:dyDescent="0.45">
      <c r="A148" s="5">
        <v>2.96</v>
      </c>
      <c r="B148" s="5">
        <v>1.068230112223008</v>
      </c>
    </row>
    <row r="149" spans="1:2" x14ac:dyDescent="0.45">
      <c r="A149" s="5">
        <v>2.97</v>
      </c>
      <c r="B149" s="5">
        <v>1.0603445502653219</v>
      </c>
    </row>
    <row r="150" spans="1:2" x14ac:dyDescent="0.45">
      <c r="A150" s="5">
        <v>2.98</v>
      </c>
      <c r="B150" s="5">
        <v>1.0524964294097281</v>
      </c>
    </row>
    <row r="151" spans="1:2" x14ac:dyDescent="0.45">
      <c r="A151" s="5">
        <v>2.99</v>
      </c>
      <c r="B151" s="5">
        <v>1.044685528812588</v>
      </c>
    </row>
    <row r="152" spans="1:2" x14ac:dyDescent="0.45">
      <c r="A152" s="5">
        <v>3</v>
      </c>
      <c r="B152" s="5">
        <v>1.036911628517466</v>
      </c>
    </row>
    <row r="153" spans="1:2" x14ac:dyDescent="0.45">
      <c r="A153" s="5">
        <v>3.01</v>
      </c>
      <c r="B153" s="5">
        <v>1.02917450947445</v>
      </c>
    </row>
    <row r="154" spans="1:2" x14ac:dyDescent="0.45">
      <c r="A154" s="5">
        <v>3.02</v>
      </c>
      <c r="B154" s="5">
        <v>1.021473953558423</v>
      </c>
    </row>
    <row r="155" spans="1:2" x14ac:dyDescent="0.45">
      <c r="A155" s="5">
        <v>3.03</v>
      </c>
      <c r="B155" s="5">
        <v>1.0138097435863049</v>
      </c>
    </row>
    <row r="156" spans="1:2" x14ac:dyDescent="0.45">
      <c r="A156" s="5">
        <v>3.04</v>
      </c>
      <c r="B156" s="5">
        <v>1.006181663333328</v>
      </c>
    </row>
    <row r="157" spans="1:2" x14ac:dyDescent="0.45">
      <c r="A157" s="5">
        <v>3.05</v>
      </c>
      <c r="B157" s="5">
        <v>0.9985894975483538</v>
      </c>
    </row>
    <row r="158" spans="1:2" x14ac:dyDescent="0.45">
      <c r="A158" s="5">
        <v>3.06</v>
      </c>
      <c r="B158" s="5">
        <v>0.99103303196829562</v>
      </c>
    </row>
    <row r="159" spans="1:2" x14ac:dyDescent="0.45">
      <c r="A159" s="5">
        <v>3.07</v>
      </c>
      <c r="B159" s="5">
        <v>0.98351205333166525</v>
      </c>
    </row>
    <row r="160" spans="1:2" x14ac:dyDescent="0.45">
      <c r="A160" s="5">
        <v>3.08</v>
      </c>
      <c r="B160" s="5">
        <v>0.97602634939127442</v>
      </c>
    </row>
    <row r="161" spans="1:2" x14ac:dyDescent="0.45">
      <c r="A161" s="5">
        <v>3.09</v>
      </c>
      <c r="B161" s="5">
        <v>0.96857570892613931</v>
      </c>
    </row>
    <row r="162" spans="1:2" x14ac:dyDescent="0.45">
      <c r="A162" s="5">
        <v>3.1</v>
      </c>
      <c r="B162" s="5">
        <v>0.96115992175259568</v>
      </c>
    </row>
    <row r="163" spans="1:2" x14ac:dyDescent="0.45">
      <c r="A163" s="5">
        <v>3.11</v>
      </c>
      <c r="B163" s="5">
        <v>0.95377877873468253</v>
      </c>
    </row>
    <row r="164" spans="1:2" x14ac:dyDescent="0.45">
      <c r="A164" s="5">
        <v>3.12</v>
      </c>
      <c r="B164" s="5">
        <v>0.94643207179379396</v>
      </c>
    </row>
    <row r="165" spans="1:2" x14ac:dyDescent="0.45">
      <c r="A165" s="5">
        <v>3.13</v>
      </c>
      <c r="B165" s="5">
        <v>0.93911959391764621</v>
      </c>
    </row>
    <row r="166" spans="1:2" x14ac:dyDescent="0.45">
      <c r="A166" s="5">
        <v>3.14</v>
      </c>
      <c r="B166" s="5">
        <v>0.93184113916858347</v>
      </c>
    </row>
    <row r="167" spans="1:2" x14ac:dyDescent="0.45">
      <c r="A167" s="5">
        <v>3.15</v>
      </c>
      <c r="B167" s="5">
        <v>0.92459650269124194</v>
      </c>
    </row>
    <row r="168" spans="1:2" x14ac:dyDescent="0.45">
      <c r="A168" s="5">
        <v>3.16</v>
      </c>
      <c r="B168" s="5">
        <v>0.91738548071959936</v>
      </c>
    </row>
    <row r="169" spans="1:2" x14ac:dyDescent="0.45">
      <c r="A169" s="5">
        <v>3.17</v>
      </c>
      <c r="B169" s="5">
        <v>0.91020787058343822</v>
      </c>
    </row>
    <row r="170" spans="1:2" x14ac:dyDescent="0.45">
      <c r="A170" s="5">
        <v>3.18</v>
      </c>
      <c r="B170" s="5">
        <v>0.90306347071424198</v>
      </c>
    </row>
    <row r="171" spans="1:2" x14ac:dyDescent="0.45">
      <c r="A171" s="5">
        <v>3.19</v>
      </c>
      <c r="B171" s="5">
        <v>0.89595208065054188</v>
      </c>
    </row>
    <row r="172" spans="1:2" x14ac:dyDescent="0.45">
      <c r="A172" s="5">
        <v>3.2</v>
      </c>
      <c r="B172" s="5">
        <v>0.88887350104275087</v>
      </c>
    </row>
    <row r="173" spans="1:2" x14ac:dyDescent="0.45">
      <c r="A173" s="5">
        <v>3.21</v>
      </c>
      <c r="B173" s="5">
        <v>0.88182753365748145</v>
      </c>
    </row>
    <row r="174" spans="1:2" x14ac:dyDescent="0.45">
      <c r="A174" s="5">
        <v>3.22</v>
      </c>
      <c r="B174" s="5">
        <v>0.87481398138139332</v>
      </c>
    </row>
    <row r="175" spans="1:2" x14ac:dyDescent="0.45">
      <c r="A175" s="5">
        <v>3.23</v>
      </c>
      <c r="B175" s="5">
        <v>0.86783264822457062</v>
      </c>
    </row>
    <row r="176" spans="1:2" x14ac:dyDescent="0.45">
      <c r="A176" s="5">
        <v>3.24</v>
      </c>
      <c r="B176" s="5">
        <v>0.86088333932345606</v>
      </c>
    </row>
    <row r="177" spans="1:2" x14ac:dyDescent="0.45">
      <c r="A177" s="5">
        <v>3.25</v>
      </c>
      <c r="B177" s="5">
        <v>0.85396586094335647</v>
      </c>
    </row>
    <row r="178" spans="1:2" x14ac:dyDescent="0.45">
      <c r="A178" s="5">
        <v>3.26</v>
      </c>
      <c r="B178" s="5">
        <v>0.84708002048054021</v>
      </c>
    </row>
    <row r="179" spans="1:2" x14ac:dyDescent="0.45">
      <c r="A179" s="5">
        <v>3.27</v>
      </c>
      <c r="B179" s="5">
        <v>0.84022562646394117</v>
      </c>
    </row>
    <row r="180" spans="1:2" x14ac:dyDescent="0.45">
      <c r="A180" s="5">
        <v>3.28</v>
      </c>
      <c r="B180" s="5">
        <v>0.83340248855648258</v>
      </c>
    </row>
    <row r="181" spans="1:2" x14ac:dyDescent="0.45">
      <c r="A181" s="5">
        <v>3.29</v>
      </c>
      <c r="B181" s="5">
        <v>0.82661041755604203</v>
      </c>
    </row>
    <row r="182" spans="1:2" x14ac:dyDescent="0.45">
      <c r="A182" s="5">
        <v>3.3</v>
      </c>
      <c r="B182" s="5">
        <v>0.8198492253960652</v>
      </c>
    </row>
    <row r="183" spans="1:2" x14ac:dyDescent="0.45">
      <c r="A183" s="5">
        <v>3.31</v>
      </c>
      <c r="B183" s="5">
        <v>0.8131187251458496</v>
      </c>
    </row>
    <row r="184" spans="1:2" x14ac:dyDescent="0.45">
      <c r="A184" s="5">
        <v>3.32</v>
      </c>
      <c r="B184" s="5">
        <v>0.80641873101050865</v>
      </c>
    </row>
    <row r="185" spans="1:2" x14ac:dyDescent="0.45">
      <c r="A185" s="5">
        <v>3.33</v>
      </c>
      <c r="B185" s="5">
        <v>0.79974905833063015</v>
      </c>
    </row>
    <row r="186" spans="1:2" x14ac:dyDescent="0.45">
      <c r="A186" s="5">
        <v>3.34</v>
      </c>
      <c r="B186" s="5">
        <v>0.79310952358163811</v>
      </c>
    </row>
    <row r="187" spans="1:2" x14ac:dyDescent="0.45">
      <c r="A187" s="5">
        <v>3.35</v>
      </c>
      <c r="B187" s="5">
        <v>0.78649994437287707</v>
      </c>
    </row>
    <row r="188" spans="1:2" x14ac:dyDescent="0.45">
      <c r="A188" s="5">
        <v>3.36</v>
      </c>
      <c r="B188" s="5">
        <v>0.77992013944642902</v>
      </c>
    </row>
    <row r="189" spans="1:2" x14ac:dyDescent="0.45">
      <c r="A189" s="5">
        <v>3.37</v>
      </c>
      <c r="B189" s="5">
        <v>0.77336992867566878</v>
      </c>
    </row>
    <row r="190" spans="1:2" x14ac:dyDescent="0.45">
      <c r="A190" s="5">
        <v>3.38</v>
      </c>
      <c r="B190" s="5">
        <v>0.76684913306357472</v>
      </c>
    </row>
    <row r="191" spans="1:2" x14ac:dyDescent="0.45">
      <c r="A191" s="5">
        <v>3.39</v>
      </c>
      <c r="B191" s="5">
        <v>0.76035757474080401</v>
      </c>
    </row>
    <row r="192" spans="1:2" x14ac:dyDescent="0.45">
      <c r="A192" s="5">
        <v>3.4</v>
      </c>
      <c r="B192" s="5">
        <v>0.75389507696354596</v>
      </c>
    </row>
    <row r="193" spans="1:2" x14ac:dyDescent="0.45">
      <c r="A193" s="5">
        <v>3.41</v>
      </c>
      <c r="B193" s="5">
        <v>0.74746146411115233</v>
      </c>
    </row>
    <row r="194" spans="1:2" x14ac:dyDescent="0.45">
      <c r="A194" s="5">
        <v>3.42</v>
      </c>
      <c r="B194" s="5">
        <v>0.7410565616835687</v>
      </c>
    </row>
    <row r="195" spans="1:2" x14ac:dyDescent="0.45">
      <c r="A195" s="5">
        <v>3.43</v>
      </c>
      <c r="B195" s="5">
        <v>0.73468019629856518</v>
      </c>
    </row>
    <row r="196" spans="1:2" x14ac:dyDescent="0.45">
      <c r="A196" s="5">
        <v>3.44</v>
      </c>
      <c r="B196" s="5">
        <v>0.7283321956887836</v>
      </c>
    </row>
    <row r="197" spans="1:2" x14ac:dyDescent="0.45">
      <c r="A197" s="5">
        <v>3.45</v>
      </c>
      <c r="B197" s="5">
        <v>0.72201238869860052</v>
      </c>
    </row>
    <row r="198" spans="1:2" x14ac:dyDescent="0.45">
      <c r="A198" s="5">
        <v>3.46</v>
      </c>
      <c r="B198" s="5">
        <v>0.71572060528082226</v>
      </c>
    </row>
    <row r="199" spans="1:2" x14ac:dyDescent="0.45">
      <c r="A199" s="5">
        <v>3.47</v>
      </c>
      <c r="B199" s="5">
        <v>0.70945667649321886</v>
      </c>
    </row>
    <row r="200" spans="1:2" x14ac:dyDescent="0.45">
      <c r="A200" s="5">
        <v>3.48</v>
      </c>
      <c r="B200" s="5">
        <v>0.70322043449489668</v>
      </c>
    </row>
    <row r="201" spans="1:2" x14ac:dyDescent="0.45">
      <c r="A201" s="5">
        <v>3.49</v>
      </c>
      <c r="B201" s="5">
        <v>0.69701171254253258</v>
      </c>
    </row>
    <row r="202" spans="1:2" x14ac:dyDescent="0.45">
      <c r="A202" s="5">
        <v>3.5</v>
      </c>
      <c r="B202" s="5">
        <v>0.69083034498645746</v>
      </c>
    </row>
    <row r="203" spans="1:2" x14ac:dyDescent="0.45">
      <c r="A203" s="5">
        <v>3.51</v>
      </c>
      <c r="B203" s="5">
        <v>0.68467616726661373</v>
      </c>
    </row>
    <row r="204" spans="1:2" x14ac:dyDescent="0.45">
      <c r="A204" s="5">
        <v>3.52</v>
      </c>
      <c r="B204" s="5">
        <v>0.67854901590838224</v>
      </c>
    </row>
    <row r="205" spans="1:2" x14ac:dyDescent="0.45">
      <c r="A205" s="5">
        <v>3.53</v>
      </c>
      <c r="B205" s="5">
        <v>0.67244872851828696</v>
      </c>
    </row>
    <row r="206" spans="1:2" x14ac:dyDescent="0.45">
      <c r="A206" s="5">
        <v>3.54</v>
      </c>
      <c r="B206" s="5">
        <v>0.66637514377959151</v>
      </c>
    </row>
    <row r="207" spans="1:2" x14ac:dyDescent="0.45">
      <c r="A207" s="5">
        <v>3.55</v>
      </c>
      <c r="B207" s="5">
        <v>0.66032810144777909</v>
      </c>
    </row>
    <row r="208" spans="1:2" x14ac:dyDescent="0.45">
      <c r="A208" s="5">
        <v>3.56</v>
      </c>
      <c r="B208" s="5">
        <v>0.65430744234593496</v>
      </c>
    </row>
    <row r="209" spans="1:2" x14ac:dyDescent="0.45">
      <c r="A209" s="5">
        <v>3.57</v>
      </c>
      <c r="B209" s="5">
        <v>0.64831300836003058</v>
      </c>
    </row>
    <row r="210" spans="1:2" x14ac:dyDescent="0.45">
      <c r="A210" s="5">
        <v>3.58</v>
      </c>
      <c r="B210" s="5">
        <v>0.64234464243411238</v>
      </c>
    </row>
    <row r="211" spans="1:2" x14ac:dyDescent="0.45">
      <c r="A211" s="5">
        <v>3.59</v>
      </c>
      <c r="B211" s="5">
        <v>0.63640218856541053</v>
      </c>
    </row>
    <row r="212" spans="1:2" x14ac:dyDescent="0.45">
      <c r="A212" s="5">
        <v>3.6</v>
      </c>
      <c r="B212" s="5">
        <v>0.63048549179935809</v>
      </c>
    </row>
    <row r="213" spans="1:2" x14ac:dyDescent="0.45">
      <c r="A213" s="5">
        <v>3.61</v>
      </c>
      <c r="B213" s="5">
        <v>0.62459439822453722</v>
      </c>
    </row>
    <row r="214" spans="1:2" x14ac:dyDescent="0.45">
      <c r="A214" s="5">
        <v>3.62</v>
      </c>
      <c r="B214" s="5">
        <v>0.61872875496755264</v>
      </c>
    </row>
    <row r="215" spans="1:2" x14ac:dyDescent="0.45">
      <c r="A215" s="5">
        <v>3.63</v>
      </c>
      <c r="B215" s="5">
        <v>0.61288841018783757</v>
      </c>
    </row>
    <row r="216" spans="1:2" x14ac:dyDescent="0.45">
      <c r="A216" s="5">
        <v>3.64</v>
      </c>
      <c r="B216" s="5">
        <v>0.60707321307238904</v>
      </c>
    </row>
    <row r="217" spans="1:2" x14ac:dyDescent="0.45">
      <c r="A217" s="5">
        <v>3.65</v>
      </c>
      <c r="B217" s="5">
        <v>0.60128301383045524</v>
      </c>
    </row>
    <row r="218" spans="1:2" x14ac:dyDescent="0.45">
      <c r="A218" s="5">
        <v>3.66</v>
      </c>
      <c r="B218" s="5">
        <v>0.5955176636881554</v>
      </c>
    </row>
    <row r="219" spans="1:2" x14ac:dyDescent="0.45">
      <c r="A219" s="5">
        <v>3.67</v>
      </c>
      <c r="B219" s="5">
        <v>0.58977701488305434</v>
      </c>
    </row>
    <row r="220" spans="1:2" x14ac:dyDescent="0.45">
      <c r="A220" s="5">
        <v>3.68</v>
      </c>
      <c r="B220" s="5">
        <v>0.58406092065868553</v>
      </c>
    </row>
    <row r="221" spans="1:2" x14ac:dyDescent="0.45">
      <c r="A221" s="5">
        <v>3.69</v>
      </c>
      <c r="B221" s="5">
        <v>0.5783692352590315</v>
      </c>
    </row>
    <row r="222" spans="1:2" x14ac:dyDescent="0.45">
      <c r="A222" s="5">
        <v>3.7</v>
      </c>
      <c r="B222" s="5">
        <v>0.57270181392295938</v>
      </c>
    </row>
    <row r="223" spans="1:2" x14ac:dyDescent="0.45">
      <c r="A223" s="5">
        <v>3.71</v>
      </c>
      <c r="B223" s="5">
        <v>0.56705851287862141</v>
      </c>
    </row>
    <row r="224" spans="1:2" x14ac:dyDescent="0.45">
      <c r="A224" s="5">
        <v>3.72</v>
      </c>
      <c r="B224" s="5">
        <v>0.56143918933781767</v>
      </c>
    </row>
    <row r="225" spans="1:2" x14ac:dyDescent="0.45">
      <c r="A225" s="5">
        <v>3.73</v>
      </c>
      <c r="B225" s="5">
        <v>0.55584370149032725</v>
      </c>
    </row>
    <row r="226" spans="1:2" x14ac:dyDescent="0.45">
      <c r="A226" s="5">
        <v>3.74</v>
      </c>
      <c r="B226" s="5">
        <v>0.55027190849821195</v>
      </c>
    </row>
    <row r="227" spans="1:2" x14ac:dyDescent="0.45">
      <c r="A227" s="5">
        <v>3.75</v>
      </c>
      <c r="B227" s="5">
        <v>0.54472367049009152</v>
      </c>
    </row>
    <row r="228" spans="1:2" x14ac:dyDescent="0.45">
      <c r="A228" s="5">
        <v>3.76</v>
      </c>
      <c r="B228" s="5">
        <v>0.53919884855539313</v>
      </c>
    </row>
    <row r="229" spans="1:2" x14ac:dyDescent="0.45">
      <c r="A229" s="5">
        <v>3.77</v>
      </c>
      <c r="B229" s="5">
        <v>0.53369730473858623</v>
      </c>
    </row>
    <row r="230" spans="1:2" x14ac:dyDescent="0.45">
      <c r="A230" s="5">
        <v>3.78</v>
      </c>
      <c r="B230" s="5">
        <v>0.52821890203338895</v>
      </c>
    </row>
    <row r="231" spans="1:2" x14ac:dyDescent="0.45">
      <c r="A231" s="5">
        <v>3.79</v>
      </c>
      <c r="B231" s="5">
        <v>0.52276350437696695</v>
      </c>
    </row>
    <row r="232" spans="1:2" x14ac:dyDescent="0.45">
      <c r="A232" s="5">
        <v>3.8</v>
      </c>
      <c r="B232" s="5">
        <v>0.51733097664411498</v>
      </c>
    </row>
    <row r="233" spans="1:2" x14ac:dyDescent="0.45">
      <c r="A233" s="5">
        <v>3.81</v>
      </c>
      <c r="B233" s="5">
        <v>0.51192118464142156</v>
      </c>
    </row>
    <row r="234" spans="1:2" x14ac:dyDescent="0.45">
      <c r="A234" s="5">
        <v>3.82</v>
      </c>
      <c r="B234" s="5">
        <v>0.50653399510143449</v>
      </c>
    </row>
    <row r="235" spans="1:2" x14ac:dyDescent="0.45">
      <c r="A235" s="5">
        <v>3.83</v>
      </c>
      <c r="B235" s="5">
        <v>0.50116927567680514</v>
      </c>
    </row>
    <row r="236" spans="1:2" x14ac:dyDescent="0.45">
      <c r="A236" s="5">
        <v>3.84</v>
      </c>
      <c r="B236" s="5">
        <v>0.49582689493444287</v>
      </c>
    </row>
    <row r="237" spans="1:2" x14ac:dyDescent="0.45">
      <c r="A237" s="5">
        <v>3.85</v>
      </c>
      <c r="B237" s="5">
        <v>0.49050672234964687</v>
      </c>
    </row>
    <row r="238" spans="1:2" x14ac:dyDescent="0.45">
      <c r="A238" s="5">
        <v>3.86</v>
      </c>
      <c r="B238" s="5">
        <v>0.48520862830025441</v>
      </c>
    </row>
    <row r="239" spans="1:2" x14ac:dyDescent="0.45">
      <c r="A239" s="5">
        <v>3.87</v>
      </c>
      <c r="B239" s="5">
        <v>0.47993248406077332</v>
      </c>
    </row>
    <row r="240" spans="1:2" x14ac:dyDescent="0.45">
      <c r="A240" s="5">
        <v>3.88</v>
      </c>
      <c r="B240" s="5">
        <v>0.47467816179652661</v>
      </c>
    </row>
    <row r="241" spans="1:2" x14ac:dyDescent="0.45">
      <c r="A241" s="5">
        <v>3.89</v>
      </c>
      <c r="B241" s="5">
        <v>0.46944553455779148</v>
      </c>
    </row>
    <row r="242" spans="1:2" x14ac:dyDescent="0.45">
      <c r="A242" s="5">
        <v>3.9</v>
      </c>
      <c r="B242" s="5">
        <v>0.46423447627395048</v>
      </c>
    </row>
    <row r="243" spans="1:2" x14ac:dyDescent="0.45">
      <c r="A243" s="5">
        <v>3.91</v>
      </c>
      <c r="B243" s="5">
        <v>0.45904486174764147</v>
      </c>
    </row>
    <row r="244" spans="1:2" x14ac:dyDescent="0.45">
      <c r="A244" s="5">
        <v>3.92</v>
      </c>
      <c r="B244" s="5">
        <v>0.45387656664891879</v>
      </c>
    </row>
    <row r="245" spans="1:2" x14ac:dyDescent="0.45">
      <c r="A245" s="5">
        <v>3.93</v>
      </c>
      <c r="B245" s="5">
        <v>0.44872946750942222</v>
      </c>
    </row>
    <row r="246" spans="1:2" x14ac:dyDescent="0.45">
      <c r="A246" s="5">
        <v>3.94</v>
      </c>
      <c r="B246" s="5">
        <v>0.44360344171655458</v>
      </c>
    </row>
    <row r="247" spans="1:2" x14ac:dyDescent="0.45">
      <c r="A247" s="5">
        <v>3.95</v>
      </c>
      <c r="B247" s="5">
        <v>0.43849836750767079</v>
      </c>
    </row>
    <row r="248" spans="1:2" x14ac:dyDescent="0.45">
      <c r="A248" s="5">
        <v>3.96</v>
      </c>
      <c r="B248" s="5">
        <v>0.43341412396428169</v>
      </c>
    </row>
    <row r="249" spans="1:2" x14ac:dyDescent="0.45">
      <c r="A249" s="5">
        <v>3.97</v>
      </c>
      <c r="B249" s="5">
        <v>0.42835059100626238</v>
      </c>
    </row>
    <row r="250" spans="1:2" x14ac:dyDescent="0.45">
      <c r="A250" s="5">
        <v>3.98</v>
      </c>
      <c r="B250" s="5">
        <v>0.42330764938609172</v>
      </c>
    </row>
    <row r="251" spans="1:2" x14ac:dyDescent="0.45">
      <c r="A251" s="5">
        <v>3.99</v>
      </c>
      <c r="B251" s="5">
        <v>0.41828518068308468</v>
      </c>
    </row>
    <row r="252" spans="1:2" x14ac:dyDescent="0.45">
      <c r="A252" s="5">
        <v>4</v>
      </c>
      <c r="B252" s="5">
        <v>0.41328306729766351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1"/>
  <sheetViews>
    <sheetView tabSelected="1" topLeftCell="A166" workbookViewId="0">
      <selection activeCell="B201" sqref="B201"/>
    </sheetView>
  </sheetViews>
  <sheetFormatPr defaultRowHeight="14.25" x14ac:dyDescent="0.45"/>
  <cols>
    <col min="1" max="2" width="16.73046875" customWidth="1"/>
  </cols>
  <sheetData>
    <row r="1" spans="1:2" x14ac:dyDescent="0.45">
      <c r="A1" s="4" t="s">
        <v>35</v>
      </c>
      <c r="B1" s="4" t="s">
        <v>36</v>
      </c>
    </row>
    <row r="2" spans="1:2" x14ac:dyDescent="0.45">
      <c r="A2" s="5">
        <v>1.5</v>
      </c>
      <c r="B2" s="5">
        <v>3</v>
      </c>
    </row>
    <row r="3" spans="1:2" x14ac:dyDescent="0.45">
      <c r="A3" s="5">
        <v>1.512562814070352</v>
      </c>
      <c r="B3" s="5">
        <v>2.9849246231155782</v>
      </c>
    </row>
    <row r="4" spans="1:2" x14ac:dyDescent="0.45">
      <c r="A4" s="5">
        <v>1.525125628140704</v>
      </c>
      <c r="B4" s="5">
        <v>2.9698492462311559</v>
      </c>
    </row>
    <row r="5" spans="1:2" x14ac:dyDescent="0.45">
      <c r="A5" s="5">
        <v>1.5376884422110551</v>
      </c>
      <c r="B5" s="5">
        <v>2.954773869346734</v>
      </c>
    </row>
    <row r="6" spans="1:2" x14ac:dyDescent="0.45">
      <c r="A6" s="5">
        <v>1.550251256281407</v>
      </c>
      <c r="B6" s="5">
        <v>2.9396984924623122</v>
      </c>
    </row>
    <row r="7" spans="1:2" x14ac:dyDescent="0.45">
      <c r="A7" s="5">
        <v>1.562814070351759</v>
      </c>
      <c r="B7" s="5">
        <v>2.924623115577889</v>
      </c>
    </row>
    <row r="8" spans="1:2" x14ac:dyDescent="0.45">
      <c r="A8" s="5">
        <v>1.575376884422111</v>
      </c>
      <c r="B8" s="5">
        <v>2.9095477386934672</v>
      </c>
    </row>
    <row r="9" spans="1:2" x14ac:dyDescent="0.45">
      <c r="A9" s="5">
        <v>1.5879396984924621</v>
      </c>
      <c r="B9" s="5">
        <v>2.8944723618090449</v>
      </c>
    </row>
    <row r="10" spans="1:2" x14ac:dyDescent="0.45">
      <c r="A10" s="5">
        <v>1.6005025125628141</v>
      </c>
      <c r="B10" s="5">
        <v>2.879396984924623</v>
      </c>
    </row>
    <row r="11" spans="1:2" x14ac:dyDescent="0.45">
      <c r="A11" s="5">
        <v>1.613065326633166</v>
      </c>
      <c r="B11" s="5">
        <v>2.8643216080402012</v>
      </c>
    </row>
    <row r="12" spans="1:2" x14ac:dyDescent="0.45">
      <c r="A12" s="5">
        <v>1.625628140703518</v>
      </c>
      <c r="B12" s="5">
        <v>2.8492462311557789</v>
      </c>
    </row>
    <row r="13" spans="1:2" x14ac:dyDescent="0.45">
      <c r="A13" s="5">
        <v>1.6381909547738689</v>
      </c>
      <c r="B13" s="5">
        <v>2.8341708542713571</v>
      </c>
    </row>
    <row r="14" spans="1:2" x14ac:dyDescent="0.45">
      <c r="A14" s="5">
        <v>1.6507537688442211</v>
      </c>
      <c r="B14" s="5">
        <v>2.8190954773869348</v>
      </c>
    </row>
    <row r="15" spans="1:2" x14ac:dyDescent="0.45">
      <c r="A15" s="5">
        <v>1.6633165829145731</v>
      </c>
      <c r="B15" s="5">
        <v>2.804020100502512</v>
      </c>
    </row>
    <row r="16" spans="1:2" x14ac:dyDescent="0.45">
      <c r="A16" s="5">
        <v>1.6758793969849251</v>
      </c>
      <c r="B16" s="5">
        <v>2.7889447236180911</v>
      </c>
    </row>
    <row r="17" spans="1:2" x14ac:dyDescent="0.45">
      <c r="A17" s="5">
        <v>1.6884422110552759</v>
      </c>
      <c r="B17" s="5">
        <v>2.7738693467336679</v>
      </c>
    </row>
    <row r="18" spans="1:2" x14ac:dyDescent="0.45">
      <c r="A18" s="5">
        <v>1.7010050251256279</v>
      </c>
      <c r="B18" s="5">
        <v>2.7587939698492461</v>
      </c>
    </row>
    <row r="19" spans="1:2" x14ac:dyDescent="0.45">
      <c r="A19" s="5">
        <v>1.7135678391959801</v>
      </c>
      <c r="B19" s="5">
        <v>2.7437185929648238</v>
      </c>
    </row>
    <row r="20" spans="1:2" x14ac:dyDescent="0.45">
      <c r="A20" s="5">
        <v>1.7261306532663321</v>
      </c>
      <c r="B20" s="5">
        <v>2.7286432160804019</v>
      </c>
    </row>
    <row r="21" spans="1:2" x14ac:dyDescent="0.45">
      <c r="A21" s="5">
        <v>1.738693467336683</v>
      </c>
      <c r="B21" s="5">
        <v>2.7135678391959801</v>
      </c>
    </row>
    <row r="22" spans="1:2" x14ac:dyDescent="0.45">
      <c r="A22" s="5">
        <v>1.7512562814070349</v>
      </c>
      <c r="B22" s="5">
        <v>2.6984924623115578</v>
      </c>
    </row>
    <row r="23" spans="1:2" x14ac:dyDescent="0.45">
      <c r="A23" s="5">
        <v>1.7638190954773869</v>
      </c>
      <c r="B23" s="5">
        <v>2.683417085427136</v>
      </c>
    </row>
    <row r="24" spans="1:2" x14ac:dyDescent="0.45">
      <c r="A24" s="5">
        <v>1.7763819095477389</v>
      </c>
      <c r="B24" s="5">
        <v>2.6683417085427141</v>
      </c>
    </row>
    <row r="25" spans="1:2" x14ac:dyDescent="0.45">
      <c r="A25" s="5">
        <v>1.78894472361809</v>
      </c>
      <c r="B25" s="5">
        <v>2.653266331658291</v>
      </c>
    </row>
    <row r="26" spans="1:2" x14ac:dyDescent="0.45">
      <c r="A26" s="5">
        <v>1.801507537688442</v>
      </c>
      <c r="B26" s="5">
        <v>2.63819095477387</v>
      </c>
    </row>
    <row r="27" spans="1:2" x14ac:dyDescent="0.45">
      <c r="A27" s="5">
        <v>1.8140703517587939</v>
      </c>
      <c r="B27" s="5">
        <v>2.6231155778894468</v>
      </c>
    </row>
    <row r="28" spans="1:2" x14ac:dyDescent="0.45">
      <c r="A28" s="5">
        <v>1.8266331658291459</v>
      </c>
      <c r="B28" s="5">
        <v>2.608040201005025</v>
      </c>
    </row>
    <row r="29" spans="1:2" x14ac:dyDescent="0.45">
      <c r="A29" s="5">
        <v>1.839195979899497</v>
      </c>
      <c r="B29" s="5">
        <v>2.5929648241206031</v>
      </c>
    </row>
    <row r="30" spans="1:2" x14ac:dyDescent="0.45">
      <c r="A30" s="5">
        <v>1.851758793969849</v>
      </c>
      <c r="B30" s="5">
        <v>2.5778894472361809</v>
      </c>
    </row>
    <row r="31" spans="1:2" x14ac:dyDescent="0.45">
      <c r="A31" s="5">
        <v>1.864321608040201</v>
      </c>
      <c r="B31" s="5">
        <v>2.562814070351759</v>
      </c>
    </row>
    <row r="32" spans="1:2" x14ac:dyDescent="0.45">
      <c r="A32" s="5">
        <v>1.876884422110553</v>
      </c>
      <c r="B32" s="5">
        <v>2.5477386934673372</v>
      </c>
    </row>
    <row r="33" spans="1:2" x14ac:dyDescent="0.45">
      <c r="A33" s="5">
        <v>1.889447236180904</v>
      </c>
      <c r="B33" s="5">
        <v>2.5326633165829149</v>
      </c>
    </row>
    <row r="34" spans="1:2" x14ac:dyDescent="0.45">
      <c r="A34" s="5">
        <v>1.902010050251256</v>
      </c>
      <c r="B34" s="5">
        <v>2.517587939698493</v>
      </c>
    </row>
    <row r="35" spans="1:2" x14ac:dyDescent="0.45">
      <c r="A35" s="5">
        <v>1.914572864321608</v>
      </c>
      <c r="B35" s="5">
        <v>2.5025125628140699</v>
      </c>
    </row>
    <row r="36" spans="1:2" x14ac:dyDescent="0.45">
      <c r="A36" s="5">
        <v>1.92713567839196</v>
      </c>
      <c r="B36" s="5">
        <v>2.487437185929648</v>
      </c>
    </row>
    <row r="37" spans="1:2" x14ac:dyDescent="0.45">
      <c r="A37" s="5">
        <v>1.939698492462312</v>
      </c>
      <c r="B37" s="5">
        <v>2.4723618090452262</v>
      </c>
    </row>
    <row r="38" spans="1:2" x14ac:dyDescent="0.45">
      <c r="A38" s="5">
        <v>1.9522613065326631</v>
      </c>
      <c r="B38" s="5">
        <v>2.4572864321608039</v>
      </c>
    </row>
    <row r="39" spans="1:2" x14ac:dyDescent="0.45">
      <c r="A39" s="5">
        <v>1.964824120603015</v>
      </c>
      <c r="B39" s="5">
        <v>2.442211055276382</v>
      </c>
    </row>
    <row r="40" spans="1:2" x14ac:dyDescent="0.45">
      <c r="A40" s="5">
        <v>1.977386934673367</v>
      </c>
      <c r="B40" s="5">
        <v>2.4271356783919602</v>
      </c>
    </row>
    <row r="41" spans="1:2" x14ac:dyDescent="0.45">
      <c r="A41" s="5">
        <v>1.989949748743719</v>
      </c>
      <c r="B41" s="5">
        <v>2.412060301507537</v>
      </c>
    </row>
    <row r="42" spans="1:2" x14ac:dyDescent="0.45">
      <c r="A42" s="5">
        <v>2.0025125628140699</v>
      </c>
      <c r="B42" s="5">
        <v>2.3969849246231161</v>
      </c>
    </row>
    <row r="43" spans="1:2" x14ac:dyDescent="0.45">
      <c r="A43" s="5">
        <v>2.0150753768844218</v>
      </c>
      <c r="B43" s="5">
        <v>2.3819095477386929</v>
      </c>
    </row>
    <row r="44" spans="1:2" x14ac:dyDescent="0.45">
      <c r="A44" s="5">
        <v>2.0276381909547738</v>
      </c>
      <c r="B44" s="5">
        <v>2.3668341708542719</v>
      </c>
    </row>
    <row r="45" spans="1:2" x14ac:dyDescent="0.45">
      <c r="A45" s="5">
        <v>2.0402010050251258</v>
      </c>
      <c r="B45" s="5">
        <v>2.3517587939698492</v>
      </c>
    </row>
    <row r="46" spans="1:2" x14ac:dyDescent="0.45">
      <c r="A46" s="5">
        <v>2.0527638190954769</v>
      </c>
      <c r="B46" s="5">
        <v>2.3366834170854269</v>
      </c>
    </row>
    <row r="47" spans="1:2" x14ac:dyDescent="0.45">
      <c r="A47" s="5">
        <v>2.0653266331658289</v>
      </c>
      <c r="B47" s="5">
        <v>2.3216080402010051</v>
      </c>
    </row>
    <row r="48" spans="1:2" x14ac:dyDescent="0.45">
      <c r="A48" s="5">
        <v>2.0778894472361809</v>
      </c>
      <c r="B48" s="5">
        <v>2.3065326633165828</v>
      </c>
    </row>
    <row r="49" spans="1:2" x14ac:dyDescent="0.45">
      <c r="A49" s="5">
        <v>2.0904522613065328</v>
      </c>
      <c r="B49" s="5">
        <v>2.291457286432161</v>
      </c>
    </row>
    <row r="50" spans="1:2" x14ac:dyDescent="0.45">
      <c r="A50" s="5">
        <v>2.1030150753768839</v>
      </c>
      <c r="B50" s="5">
        <v>2.2763819095477391</v>
      </c>
    </row>
    <row r="51" spans="1:2" x14ac:dyDescent="0.45">
      <c r="A51" s="5">
        <v>2.1155778894472359</v>
      </c>
      <c r="B51" s="5">
        <v>2.2613065326633159</v>
      </c>
    </row>
    <row r="52" spans="1:2" x14ac:dyDescent="0.45">
      <c r="A52" s="5">
        <v>2.1281407035175879</v>
      </c>
      <c r="B52" s="5">
        <v>2.246231155778895</v>
      </c>
    </row>
    <row r="53" spans="1:2" x14ac:dyDescent="0.45">
      <c r="A53" s="5">
        <v>2.1407035175879399</v>
      </c>
      <c r="B53" s="5">
        <v>2.2311557788944718</v>
      </c>
    </row>
    <row r="54" spans="1:2" x14ac:dyDescent="0.45">
      <c r="A54" s="5">
        <v>2.153266331658291</v>
      </c>
      <c r="B54" s="5">
        <v>2.21608040201005</v>
      </c>
    </row>
    <row r="55" spans="1:2" x14ac:dyDescent="0.45">
      <c r="A55" s="5">
        <v>2.1658291457286429</v>
      </c>
      <c r="B55" s="5">
        <v>2.2010050251256281</v>
      </c>
    </row>
    <row r="56" spans="1:2" x14ac:dyDescent="0.45">
      <c r="A56" s="5">
        <v>2.1783919597989949</v>
      </c>
      <c r="B56" s="5">
        <v>2.1859296482412058</v>
      </c>
    </row>
    <row r="57" spans="1:2" x14ac:dyDescent="0.45">
      <c r="A57" s="5">
        <v>2.1909547738693469</v>
      </c>
      <c r="B57" s="5">
        <v>2.170854271356784</v>
      </c>
    </row>
    <row r="58" spans="1:2" x14ac:dyDescent="0.45">
      <c r="A58" s="5">
        <v>2.203517587939698</v>
      </c>
      <c r="B58" s="5">
        <v>2.1557788944723622</v>
      </c>
    </row>
    <row r="59" spans="1:2" x14ac:dyDescent="0.45">
      <c r="A59" s="5">
        <v>2.21608040201005</v>
      </c>
      <c r="B59" s="5">
        <v>2.140703517587939</v>
      </c>
    </row>
    <row r="60" spans="1:2" x14ac:dyDescent="0.45">
      <c r="A60" s="5">
        <v>2.2286432160804019</v>
      </c>
      <c r="B60" s="5">
        <v>2.125628140703518</v>
      </c>
    </row>
    <row r="61" spans="1:2" x14ac:dyDescent="0.45">
      <c r="A61" s="5">
        <v>2.2412060301507539</v>
      </c>
      <c r="B61" s="5">
        <v>2.1105527638190948</v>
      </c>
    </row>
    <row r="62" spans="1:2" x14ac:dyDescent="0.45">
      <c r="A62" s="5">
        <v>2.253768844221105</v>
      </c>
      <c r="B62" s="5">
        <v>2.095477386934673</v>
      </c>
    </row>
    <row r="63" spans="1:2" x14ac:dyDescent="0.45">
      <c r="A63" s="5">
        <v>2.266331658291457</v>
      </c>
      <c r="B63" s="5">
        <v>2.0804020100502512</v>
      </c>
    </row>
    <row r="64" spans="1:2" x14ac:dyDescent="0.45">
      <c r="A64" s="5">
        <v>2.278894472361809</v>
      </c>
      <c r="B64" s="5">
        <v>2.0653266331658289</v>
      </c>
    </row>
    <row r="65" spans="1:2" x14ac:dyDescent="0.45">
      <c r="A65" s="5">
        <v>2.291457286432161</v>
      </c>
      <c r="B65" s="5">
        <v>2.050251256281407</v>
      </c>
    </row>
    <row r="66" spans="1:2" x14ac:dyDescent="0.45">
      <c r="A66" s="5">
        <v>2.304020100502512</v>
      </c>
      <c r="B66" s="5">
        <v>2.0351758793969852</v>
      </c>
    </row>
    <row r="67" spans="1:2" x14ac:dyDescent="0.45">
      <c r="A67" s="5">
        <v>2.316582914572864</v>
      </c>
      <c r="B67" s="5">
        <v>2.020100502512562</v>
      </c>
    </row>
    <row r="68" spans="1:2" x14ac:dyDescent="0.45">
      <c r="A68" s="5">
        <v>2.329145728643216</v>
      </c>
      <c r="B68" s="5">
        <v>2.0050251256281411</v>
      </c>
    </row>
    <row r="69" spans="1:2" x14ac:dyDescent="0.45">
      <c r="A69" s="5">
        <v>2.341708542713568</v>
      </c>
      <c r="B69" s="5">
        <v>1.9899497487437181</v>
      </c>
    </row>
    <row r="70" spans="1:2" x14ac:dyDescent="0.45">
      <c r="A70" s="5">
        <v>2.35427135678392</v>
      </c>
      <c r="B70" s="5">
        <v>1.974874371859296</v>
      </c>
    </row>
    <row r="71" spans="1:2" x14ac:dyDescent="0.45">
      <c r="A71" s="5">
        <v>2.3668341708542719</v>
      </c>
      <c r="B71" s="5">
        <v>1.959798994974874</v>
      </c>
    </row>
    <row r="72" spans="1:2" x14ac:dyDescent="0.45">
      <c r="A72" s="5">
        <v>2.379396984924623</v>
      </c>
      <c r="B72" s="5">
        <v>1.9447236180904519</v>
      </c>
    </row>
    <row r="73" spans="1:2" x14ac:dyDescent="0.45">
      <c r="A73" s="5">
        <v>2.391959798994975</v>
      </c>
      <c r="B73" s="5">
        <v>1.9296482412060301</v>
      </c>
    </row>
    <row r="74" spans="1:2" x14ac:dyDescent="0.45">
      <c r="A74" s="5">
        <v>2.404522613065327</v>
      </c>
      <c r="B74" s="5">
        <v>1.914572864321608</v>
      </c>
    </row>
    <row r="75" spans="1:2" x14ac:dyDescent="0.45">
      <c r="A75" s="5">
        <v>2.417085427135679</v>
      </c>
      <c r="B75" s="5">
        <v>1.8994974874371859</v>
      </c>
    </row>
    <row r="76" spans="1:2" x14ac:dyDescent="0.45">
      <c r="A76" s="5">
        <v>2.4296482412060301</v>
      </c>
      <c r="B76" s="5">
        <v>1.8844221105527641</v>
      </c>
    </row>
    <row r="77" spans="1:2" x14ac:dyDescent="0.45">
      <c r="A77" s="5">
        <v>2.442211055276382</v>
      </c>
      <c r="B77" s="5">
        <v>1.8693467336683409</v>
      </c>
    </row>
    <row r="78" spans="1:2" x14ac:dyDescent="0.45">
      <c r="A78" s="5">
        <v>2.454773869346734</v>
      </c>
      <c r="B78" s="5">
        <v>1.85427135678392</v>
      </c>
    </row>
    <row r="79" spans="1:2" x14ac:dyDescent="0.45">
      <c r="A79" s="5">
        <v>2.467336683417086</v>
      </c>
      <c r="B79" s="5">
        <v>1.839195979899497</v>
      </c>
    </row>
    <row r="80" spans="1:2" x14ac:dyDescent="0.45">
      <c r="A80" s="5">
        <v>2.4798994974874371</v>
      </c>
      <c r="B80" s="5">
        <v>1.8241206030150749</v>
      </c>
    </row>
    <row r="81" spans="1:2" x14ac:dyDescent="0.45">
      <c r="A81" s="5">
        <v>2.4924623115577891</v>
      </c>
      <c r="B81" s="5">
        <v>1.8090452261306531</v>
      </c>
    </row>
    <row r="82" spans="1:2" x14ac:dyDescent="0.45">
      <c r="A82" s="5">
        <v>2.5050251256281411</v>
      </c>
      <c r="B82" s="5">
        <v>1.793969849246231</v>
      </c>
    </row>
    <row r="83" spans="1:2" x14ac:dyDescent="0.45">
      <c r="A83" s="5">
        <v>2.517587939698493</v>
      </c>
      <c r="B83" s="5">
        <v>1.778894472361809</v>
      </c>
    </row>
    <row r="84" spans="1:2" x14ac:dyDescent="0.45">
      <c r="A84" s="5">
        <v>2.530150753768845</v>
      </c>
      <c r="B84" s="5">
        <v>1.7638190954773869</v>
      </c>
    </row>
    <row r="85" spans="1:2" x14ac:dyDescent="0.45">
      <c r="A85" s="5">
        <v>2.5427135678391961</v>
      </c>
      <c r="B85" s="5">
        <v>1.7487437185929651</v>
      </c>
    </row>
    <row r="86" spans="1:2" x14ac:dyDescent="0.45">
      <c r="A86" s="5">
        <v>2.5552763819095481</v>
      </c>
      <c r="B86" s="5">
        <v>1.733668341708543</v>
      </c>
    </row>
    <row r="87" spans="1:2" x14ac:dyDescent="0.45">
      <c r="A87" s="5">
        <v>2.5678391959799001</v>
      </c>
      <c r="B87" s="5">
        <v>1.7185929648241201</v>
      </c>
    </row>
    <row r="88" spans="1:2" x14ac:dyDescent="0.45">
      <c r="A88" s="5">
        <v>2.580402010050252</v>
      </c>
      <c r="B88" s="5">
        <v>1.703517587939698</v>
      </c>
    </row>
    <row r="89" spans="1:2" x14ac:dyDescent="0.45">
      <c r="A89" s="5">
        <v>2.5929648241206031</v>
      </c>
      <c r="B89" s="5">
        <v>1.6884422110552759</v>
      </c>
    </row>
    <row r="90" spans="1:2" x14ac:dyDescent="0.45">
      <c r="A90" s="5">
        <v>2.6055276381909551</v>
      </c>
      <c r="B90" s="5">
        <v>1.6733668341708541</v>
      </c>
    </row>
    <row r="91" spans="1:2" x14ac:dyDescent="0.45">
      <c r="A91" s="5">
        <v>2.6180904522613071</v>
      </c>
      <c r="B91" s="5">
        <v>1.658291457286432</v>
      </c>
    </row>
    <row r="92" spans="1:2" x14ac:dyDescent="0.45">
      <c r="A92" s="5">
        <v>2.6306532663316591</v>
      </c>
      <c r="B92" s="5">
        <v>1.6432160804020099</v>
      </c>
    </row>
    <row r="93" spans="1:2" x14ac:dyDescent="0.45">
      <c r="A93" s="5">
        <v>2.6432160804020102</v>
      </c>
      <c r="B93" s="5">
        <v>1.6281407035175881</v>
      </c>
    </row>
    <row r="94" spans="1:2" x14ac:dyDescent="0.45">
      <c r="A94" s="5">
        <v>2.6557788944723622</v>
      </c>
      <c r="B94" s="5">
        <v>1.613065326633166</v>
      </c>
    </row>
    <row r="95" spans="1:2" x14ac:dyDescent="0.45">
      <c r="A95" s="5">
        <v>2.6683417085427141</v>
      </c>
      <c r="B95" s="5">
        <v>1.597989949748744</v>
      </c>
    </row>
    <row r="96" spans="1:2" x14ac:dyDescent="0.45">
      <c r="A96" s="5">
        <v>2.6809045226130661</v>
      </c>
      <c r="B96" s="5">
        <v>1.582914572864321</v>
      </c>
    </row>
    <row r="97" spans="1:2" x14ac:dyDescent="0.45">
      <c r="A97" s="5">
        <v>2.6934673366834172</v>
      </c>
      <c r="B97" s="5">
        <v>1.567839195979899</v>
      </c>
    </row>
    <row r="98" spans="1:2" x14ac:dyDescent="0.45">
      <c r="A98" s="5">
        <v>2.7060301507537692</v>
      </c>
      <c r="B98" s="5">
        <v>1.5527638190954769</v>
      </c>
    </row>
    <row r="99" spans="1:2" x14ac:dyDescent="0.45">
      <c r="A99" s="5">
        <v>2.7185929648241212</v>
      </c>
      <c r="B99" s="5">
        <v>1.5376884422110551</v>
      </c>
    </row>
    <row r="100" spans="1:2" x14ac:dyDescent="0.45">
      <c r="A100" s="5">
        <v>2.7311557788944731</v>
      </c>
      <c r="B100" s="5">
        <v>1.522613065326633</v>
      </c>
    </row>
    <row r="101" spans="1:2" x14ac:dyDescent="0.45">
      <c r="A101" s="5">
        <v>2.7437185929648238</v>
      </c>
      <c r="B101" s="5">
        <v>1.5075376884422109</v>
      </c>
    </row>
    <row r="102" spans="1:2" x14ac:dyDescent="0.45">
      <c r="A102" s="5">
        <v>2.7562814070351762</v>
      </c>
      <c r="B102" s="5">
        <v>1.497906197654941</v>
      </c>
    </row>
    <row r="103" spans="1:2" x14ac:dyDescent="0.45">
      <c r="A103" s="5">
        <v>2.7688442211055282</v>
      </c>
      <c r="B103" s="5">
        <v>1.493718592964824</v>
      </c>
    </row>
    <row r="104" spans="1:2" x14ac:dyDescent="0.45">
      <c r="A104" s="5">
        <v>2.7814070351758802</v>
      </c>
      <c r="B104" s="5">
        <v>1.489530988274707</v>
      </c>
    </row>
    <row r="105" spans="1:2" x14ac:dyDescent="0.45">
      <c r="A105" s="5">
        <v>2.7939698492462308</v>
      </c>
      <c r="B105" s="5">
        <v>1.4853433835845899</v>
      </c>
    </row>
    <row r="106" spans="1:2" x14ac:dyDescent="0.45">
      <c r="A106" s="5">
        <v>2.8065326633165828</v>
      </c>
      <c r="B106" s="5">
        <v>1.481155778894472</v>
      </c>
    </row>
    <row r="107" spans="1:2" x14ac:dyDescent="0.45">
      <c r="A107" s="5">
        <v>2.8190954773869348</v>
      </c>
      <c r="B107" s="5">
        <v>1.476968174204355</v>
      </c>
    </row>
    <row r="108" spans="1:2" x14ac:dyDescent="0.45">
      <c r="A108" s="5">
        <v>2.8316582914572872</v>
      </c>
      <c r="B108" s="5">
        <v>1.472780569514238</v>
      </c>
    </row>
    <row r="109" spans="1:2" x14ac:dyDescent="0.45">
      <c r="A109" s="5">
        <v>2.8442211055276378</v>
      </c>
      <c r="B109" s="5">
        <v>1.4685929648241201</v>
      </c>
    </row>
    <row r="110" spans="1:2" x14ac:dyDescent="0.45">
      <c r="A110" s="5">
        <v>2.8567839195979898</v>
      </c>
      <c r="B110" s="5">
        <v>1.464405360134003</v>
      </c>
    </row>
    <row r="111" spans="1:2" x14ac:dyDescent="0.45">
      <c r="A111" s="5">
        <v>2.8693467336683418</v>
      </c>
      <c r="B111" s="5">
        <v>1.460217755443886</v>
      </c>
    </row>
    <row r="112" spans="1:2" x14ac:dyDescent="0.45">
      <c r="A112" s="5">
        <v>2.8819095477386938</v>
      </c>
      <c r="B112" s="5">
        <v>1.456030150753769</v>
      </c>
    </row>
    <row r="113" spans="1:2" x14ac:dyDescent="0.45">
      <c r="A113" s="5">
        <v>2.8944723618090449</v>
      </c>
      <c r="B113" s="5">
        <v>1.451842546063651</v>
      </c>
    </row>
    <row r="114" spans="1:2" x14ac:dyDescent="0.45">
      <c r="A114" s="5">
        <v>2.9070351758793969</v>
      </c>
      <c r="B114" s="5">
        <v>1.447654941373534</v>
      </c>
    </row>
    <row r="115" spans="1:2" x14ac:dyDescent="0.45">
      <c r="A115" s="5">
        <v>2.9195979899497488</v>
      </c>
      <c r="B115" s="5">
        <v>1.443467336683417</v>
      </c>
    </row>
    <row r="116" spans="1:2" x14ac:dyDescent="0.45">
      <c r="A116" s="5">
        <v>2.9321608040201008</v>
      </c>
      <c r="B116" s="5">
        <v>1.4392797319932999</v>
      </c>
    </row>
    <row r="117" spans="1:2" x14ac:dyDescent="0.45">
      <c r="A117" s="5">
        <v>2.9447236180904519</v>
      </c>
      <c r="B117" s="5">
        <v>1.435092127303182</v>
      </c>
    </row>
    <row r="118" spans="1:2" x14ac:dyDescent="0.45">
      <c r="A118" s="5">
        <v>2.9572864321608039</v>
      </c>
      <c r="B118" s="5">
        <v>1.430904522613065</v>
      </c>
    </row>
    <row r="119" spans="1:2" x14ac:dyDescent="0.45">
      <c r="A119" s="5">
        <v>2.9698492462311559</v>
      </c>
      <c r="B119" s="5">
        <v>1.426716917922948</v>
      </c>
    </row>
    <row r="120" spans="1:2" x14ac:dyDescent="0.45">
      <c r="A120" s="5">
        <v>2.9824120603015079</v>
      </c>
      <c r="B120" s="5">
        <v>1.4225293132328309</v>
      </c>
    </row>
    <row r="121" spans="1:2" x14ac:dyDescent="0.45">
      <c r="A121" s="5">
        <v>2.9949748743718589</v>
      </c>
      <c r="B121" s="5">
        <v>1.418341708542713</v>
      </c>
    </row>
    <row r="122" spans="1:2" x14ac:dyDescent="0.45">
      <c r="A122" s="5">
        <v>3.0075376884422109</v>
      </c>
      <c r="B122" s="5">
        <v>1.414154103852596</v>
      </c>
    </row>
    <row r="123" spans="1:2" x14ac:dyDescent="0.45">
      <c r="A123" s="5">
        <v>3.0201005025125629</v>
      </c>
      <c r="B123" s="5">
        <v>1.409966499162479</v>
      </c>
    </row>
    <row r="124" spans="1:2" x14ac:dyDescent="0.45">
      <c r="A124" s="5">
        <v>3.0326633165829149</v>
      </c>
      <c r="B124" s="5">
        <v>1.4057788944723619</v>
      </c>
    </row>
    <row r="125" spans="1:2" x14ac:dyDescent="0.45">
      <c r="A125" s="5">
        <v>3.045226130653266</v>
      </c>
      <c r="B125" s="5">
        <v>1.401591289782244</v>
      </c>
    </row>
    <row r="126" spans="1:2" x14ac:dyDescent="0.45">
      <c r="A126" s="5">
        <v>3.057788944723618</v>
      </c>
      <c r="B126" s="5">
        <v>1.397403685092127</v>
      </c>
    </row>
    <row r="127" spans="1:2" x14ac:dyDescent="0.45">
      <c r="A127" s="5">
        <v>3.0703517587939699</v>
      </c>
      <c r="B127" s="5">
        <v>1.3932160804020099</v>
      </c>
    </row>
    <row r="128" spans="1:2" x14ac:dyDescent="0.45">
      <c r="A128" s="5">
        <v>3.0829145728643219</v>
      </c>
      <c r="B128" s="5">
        <v>1.3890284757118929</v>
      </c>
    </row>
    <row r="129" spans="1:2" x14ac:dyDescent="0.45">
      <c r="A129" s="5">
        <v>3.095477386934673</v>
      </c>
      <c r="B129" s="5">
        <v>1.384840871021775</v>
      </c>
    </row>
    <row r="130" spans="1:2" x14ac:dyDescent="0.45">
      <c r="A130" s="5">
        <v>3.108040201005025</v>
      </c>
      <c r="B130" s="5">
        <v>1.380653266331658</v>
      </c>
    </row>
    <row r="131" spans="1:2" x14ac:dyDescent="0.45">
      <c r="A131" s="5">
        <v>3.120603015075377</v>
      </c>
      <c r="B131" s="5">
        <v>1.3764656616415409</v>
      </c>
    </row>
    <row r="132" spans="1:2" x14ac:dyDescent="0.45">
      <c r="A132" s="5">
        <v>3.1331658291457289</v>
      </c>
      <c r="B132" s="5">
        <v>1.3722780569514239</v>
      </c>
    </row>
    <row r="133" spans="1:2" x14ac:dyDescent="0.45">
      <c r="A133" s="5">
        <v>3.14572864321608</v>
      </c>
      <c r="B133" s="5">
        <v>1.368090452261306</v>
      </c>
    </row>
    <row r="134" spans="1:2" x14ac:dyDescent="0.45">
      <c r="A134" s="5">
        <v>3.158291457286432</v>
      </c>
      <c r="B134" s="5">
        <v>1.363902847571189</v>
      </c>
    </row>
    <row r="135" spans="1:2" x14ac:dyDescent="0.45">
      <c r="A135" s="5">
        <v>3.170854271356784</v>
      </c>
      <c r="B135" s="5">
        <v>1.3597152428810719</v>
      </c>
    </row>
    <row r="136" spans="1:2" x14ac:dyDescent="0.45">
      <c r="A136" s="5">
        <v>3.183417085427136</v>
      </c>
      <c r="B136" s="5">
        <v>1.3555276381909549</v>
      </c>
    </row>
    <row r="137" spans="1:2" x14ac:dyDescent="0.45">
      <c r="A137" s="5">
        <v>3.195979899497488</v>
      </c>
      <c r="B137" s="5">
        <v>1.351340033500837</v>
      </c>
    </row>
    <row r="138" spans="1:2" x14ac:dyDescent="0.45">
      <c r="A138" s="5">
        <v>3.208542713567839</v>
      </c>
      <c r="B138" s="5">
        <v>1.3471524288107199</v>
      </c>
    </row>
    <row r="139" spans="1:2" x14ac:dyDescent="0.45">
      <c r="A139" s="5">
        <v>3.221105527638191</v>
      </c>
      <c r="B139" s="5">
        <v>1.3429648241206029</v>
      </c>
    </row>
    <row r="140" spans="1:2" x14ac:dyDescent="0.45">
      <c r="A140" s="5">
        <v>3.233668341708543</v>
      </c>
      <c r="B140" s="5">
        <v>1.3387772194304861</v>
      </c>
    </row>
    <row r="141" spans="1:2" x14ac:dyDescent="0.45">
      <c r="A141" s="5">
        <v>3.246231155778895</v>
      </c>
      <c r="B141" s="5">
        <v>1.334589614740368</v>
      </c>
    </row>
    <row r="142" spans="1:2" x14ac:dyDescent="0.45">
      <c r="A142" s="5">
        <v>3.2587939698492461</v>
      </c>
      <c r="B142" s="5">
        <v>1.3304020100502509</v>
      </c>
    </row>
    <row r="143" spans="1:2" x14ac:dyDescent="0.45">
      <c r="A143" s="5">
        <v>3.2713567839195981</v>
      </c>
      <c r="B143" s="5">
        <v>1.3262144053601339</v>
      </c>
    </row>
    <row r="144" spans="1:2" x14ac:dyDescent="0.45">
      <c r="A144" s="5">
        <v>3.28391959798995</v>
      </c>
      <c r="B144" s="5">
        <v>1.3220268006700171</v>
      </c>
    </row>
    <row r="145" spans="1:2" x14ac:dyDescent="0.45">
      <c r="A145" s="5">
        <v>3.296482412060302</v>
      </c>
      <c r="B145" s="5">
        <v>1.317839195979899</v>
      </c>
    </row>
    <row r="146" spans="1:2" x14ac:dyDescent="0.45">
      <c r="A146" s="5">
        <v>3.3090452261306531</v>
      </c>
      <c r="B146" s="5">
        <v>1.3136515912897819</v>
      </c>
    </row>
    <row r="147" spans="1:2" x14ac:dyDescent="0.45">
      <c r="A147" s="5">
        <v>3.3216080402010051</v>
      </c>
      <c r="B147" s="5">
        <v>1.3094639865996649</v>
      </c>
    </row>
    <row r="148" spans="1:2" x14ac:dyDescent="0.45">
      <c r="A148" s="5">
        <v>3.3341708542713571</v>
      </c>
      <c r="B148" s="5">
        <v>1.3052763819095481</v>
      </c>
    </row>
    <row r="149" spans="1:2" x14ac:dyDescent="0.45">
      <c r="A149" s="5">
        <v>3.346733668341709</v>
      </c>
      <c r="B149" s="5">
        <v>1.3010887772194299</v>
      </c>
    </row>
    <row r="150" spans="1:2" x14ac:dyDescent="0.45">
      <c r="A150" s="5">
        <v>3.3592964824120601</v>
      </c>
      <c r="B150" s="5">
        <v>1.2969011725293129</v>
      </c>
    </row>
    <row r="151" spans="1:2" x14ac:dyDescent="0.45">
      <c r="A151" s="5">
        <v>3.3718592964824121</v>
      </c>
      <c r="B151" s="5">
        <v>1.2927135678391961</v>
      </c>
    </row>
    <row r="152" spans="1:2" x14ac:dyDescent="0.45">
      <c r="A152" s="5">
        <v>3.3844221105527641</v>
      </c>
      <c r="B152" s="5">
        <v>1.2885259631490791</v>
      </c>
    </row>
    <row r="153" spans="1:2" x14ac:dyDescent="0.45">
      <c r="A153" s="5">
        <v>3.3969849246231161</v>
      </c>
      <c r="B153" s="5">
        <v>1.2843383584589609</v>
      </c>
    </row>
    <row r="154" spans="1:2" x14ac:dyDescent="0.45">
      <c r="A154" s="5">
        <v>3.4095477386934672</v>
      </c>
      <c r="B154" s="5">
        <v>1.2801507537688439</v>
      </c>
    </row>
    <row r="155" spans="1:2" x14ac:dyDescent="0.45">
      <c r="A155" s="5">
        <v>3.4221105527638191</v>
      </c>
      <c r="B155" s="5">
        <v>1.2759631490787271</v>
      </c>
    </row>
    <row r="156" spans="1:2" x14ac:dyDescent="0.45">
      <c r="A156" s="5">
        <v>3.4346733668341711</v>
      </c>
      <c r="B156" s="5">
        <v>1.2717755443886101</v>
      </c>
    </row>
    <row r="157" spans="1:2" x14ac:dyDescent="0.45">
      <c r="A157" s="5">
        <v>3.4472361809045231</v>
      </c>
      <c r="B157" s="5">
        <v>1.2675879396984919</v>
      </c>
    </row>
    <row r="158" spans="1:2" x14ac:dyDescent="0.45">
      <c r="A158" s="5">
        <v>3.4597989949748742</v>
      </c>
      <c r="B158" s="5">
        <v>1.2634003350083749</v>
      </c>
    </row>
    <row r="159" spans="1:2" x14ac:dyDescent="0.45">
      <c r="A159" s="5">
        <v>3.4723618090452262</v>
      </c>
      <c r="B159" s="5">
        <v>1.2592127303182581</v>
      </c>
    </row>
    <row r="160" spans="1:2" x14ac:dyDescent="0.45">
      <c r="A160" s="5">
        <v>3.4849246231155782</v>
      </c>
      <c r="B160" s="5">
        <v>1.2550251256281411</v>
      </c>
    </row>
    <row r="161" spans="1:2" x14ac:dyDescent="0.45">
      <c r="A161" s="5">
        <v>3.4974874371859301</v>
      </c>
      <c r="B161" s="5">
        <v>1.2508375209380229</v>
      </c>
    </row>
    <row r="162" spans="1:2" x14ac:dyDescent="0.45">
      <c r="A162" s="5">
        <v>3.5100502512562821</v>
      </c>
      <c r="B162" s="5">
        <v>1.236934673366834</v>
      </c>
    </row>
    <row r="163" spans="1:2" x14ac:dyDescent="0.45">
      <c r="A163" s="5">
        <v>3.5226130653266332</v>
      </c>
      <c r="B163" s="5">
        <v>1.2206030150753771</v>
      </c>
    </row>
    <row r="164" spans="1:2" x14ac:dyDescent="0.45">
      <c r="A164" s="5">
        <v>3.5351758793969852</v>
      </c>
      <c r="B164" s="5">
        <v>1.2042713567839189</v>
      </c>
    </row>
    <row r="165" spans="1:2" x14ac:dyDescent="0.45">
      <c r="A165" s="5">
        <v>3.5477386934673372</v>
      </c>
      <c r="B165" s="5">
        <v>1.1879396984924619</v>
      </c>
    </row>
    <row r="166" spans="1:2" x14ac:dyDescent="0.45">
      <c r="A166" s="5">
        <v>3.5603015075376891</v>
      </c>
      <c r="B166" s="5">
        <v>1.171608040201005</v>
      </c>
    </row>
    <row r="167" spans="1:2" x14ac:dyDescent="0.45">
      <c r="A167" s="5">
        <v>3.5728643216080398</v>
      </c>
      <c r="B167" s="5">
        <v>1.155276381909548</v>
      </c>
    </row>
    <row r="168" spans="1:2" x14ac:dyDescent="0.45">
      <c r="A168" s="5">
        <v>3.5854271356783922</v>
      </c>
      <c r="B168" s="5">
        <v>1.1389447236180901</v>
      </c>
    </row>
    <row r="169" spans="1:2" x14ac:dyDescent="0.45">
      <c r="A169" s="5">
        <v>3.5979899497487442</v>
      </c>
      <c r="B169" s="5">
        <v>1.1226130653266331</v>
      </c>
    </row>
    <row r="170" spans="1:2" x14ac:dyDescent="0.45">
      <c r="A170" s="5">
        <v>3.6105527638190962</v>
      </c>
      <c r="B170" s="5">
        <v>1.1062814070351761</v>
      </c>
    </row>
    <row r="171" spans="1:2" x14ac:dyDescent="0.45">
      <c r="A171" s="5">
        <v>3.6231155778894468</v>
      </c>
      <c r="B171" s="5">
        <v>1.0899497487437191</v>
      </c>
    </row>
    <row r="172" spans="1:2" x14ac:dyDescent="0.45">
      <c r="A172" s="5">
        <v>3.6356783919597988</v>
      </c>
      <c r="B172" s="5">
        <v>1.073618090452261</v>
      </c>
    </row>
    <row r="173" spans="1:2" x14ac:dyDescent="0.45">
      <c r="A173" s="5">
        <v>3.6482412060301508</v>
      </c>
      <c r="B173" s="5">
        <v>1.057286432160804</v>
      </c>
    </row>
    <row r="174" spans="1:2" x14ac:dyDescent="0.45">
      <c r="A174" s="5">
        <v>3.6608040201005032</v>
      </c>
      <c r="B174" s="5">
        <v>1.0409547738693461</v>
      </c>
    </row>
    <row r="175" spans="1:2" x14ac:dyDescent="0.45">
      <c r="A175" s="5">
        <v>3.6733668341708539</v>
      </c>
      <c r="B175" s="5">
        <v>1.0246231155778891</v>
      </c>
    </row>
    <row r="176" spans="1:2" x14ac:dyDescent="0.45">
      <c r="A176" s="5">
        <v>3.6859296482412058</v>
      </c>
      <c r="B176" s="5">
        <v>1.0082914572864321</v>
      </c>
    </row>
    <row r="177" spans="1:2" x14ac:dyDescent="0.45">
      <c r="A177" s="5">
        <v>3.6984924623115578</v>
      </c>
      <c r="B177" s="5">
        <v>0.99195979899497488</v>
      </c>
    </row>
    <row r="178" spans="1:2" x14ac:dyDescent="0.45">
      <c r="A178" s="5">
        <v>3.7110552763819098</v>
      </c>
      <c r="B178" s="5">
        <v>0.97562814070351722</v>
      </c>
    </row>
    <row r="179" spans="1:2" x14ac:dyDescent="0.45">
      <c r="A179" s="5">
        <v>3.7236180904522609</v>
      </c>
      <c r="B179" s="5">
        <v>0.95929648241206023</v>
      </c>
    </row>
    <row r="180" spans="1:2" x14ac:dyDescent="0.45">
      <c r="A180" s="5">
        <v>3.7361809045226129</v>
      </c>
      <c r="B180" s="5">
        <v>0.94296482412060267</v>
      </c>
    </row>
    <row r="181" spans="1:2" x14ac:dyDescent="0.45">
      <c r="A181" s="5">
        <v>3.7487437185929648</v>
      </c>
      <c r="B181" s="5">
        <v>0.92663316582914568</v>
      </c>
    </row>
    <row r="182" spans="1:2" x14ac:dyDescent="0.45">
      <c r="A182" s="5">
        <v>3.7613065326633168</v>
      </c>
      <c r="B182" s="5">
        <v>0.91030150753768813</v>
      </c>
    </row>
    <row r="183" spans="1:2" x14ac:dyDescent="0.45">
      <c r="A183" s="5">
        <v>3.7738693467336679</v>
      </c>
      <c r="B183" s="5">
        <v>0.89396984924623113</v>
      </c>
    </row>
    <row r="184" spans="1:2" x14ac:dyDescent="0.45">
      <c r="A184" s="5">
        <v>3.7864321608040199</v>
      </c>
      <c r="B184" s="5">
        <v>0.87763819095477347</v>
      </c>
    </row>
    <row r="185" spans="1:2" x14ac:dyDescent="0.45">
      <c r="A185" s="5">
        <v>3.7989949748743719</v>
      </c>
      <c r="B185" s="5">
        <v>0.86130653266331647</v>
      </c>
    </row>
    <row r="186" spans="1:2" x14ac:dyDescent="0.45">
      <c r="A186" s="5">
        <v>3.8115577889447239</v>
      </c>
      <c r="B186" s="5">
        <v>0.84497487437185903</v>
      </c>
    </row>
    <row r="187" spans="1:2" x14ac:dyDescent="0.45">
      <c r="A187" s="5">
        <v>3.8241206030150749</v>
      </c>
      <c r="B187" s="5">
        <v>0.82864321608040203</v>
      </c>
    </row>
    <row r="188" spans="1:2" x14ac:dyDescent="0.45">
      <c r="A188" s="5">
        <v>3.8366834170854269</v>
      </c>
      <c r="B188" s="5">
        <v>0.81231155778894437</v>
      </c>
    </row>
    <row r="189" spans="1:2" x14ac:dyDescent="0.45">
      <c r="A189" s="5">
        <v>3.8492462311557789</v>
      </c>
      <c r="B189" s="5">
        <v>0.79597989949748738</v>
      </c>
    </row>
    <row r="190" spans="1:2" x14ac:dyDescent="0.45">
      <c r="A190" s="5">
        <v>3.8618090452261309</v>
      </c>
      <c r="B190" s="5">
        <v>0.77964824120602982</v>
      </c>
    </row>
    <row r="191" spans="1:2" x14ac:dyDescent="0.45">
      <c r="A191" s="5">
        <v>3.874371859296482</v>
      </c>
      <c r="B191" s="5">
        <v>0.76331658291457283</v>
      </c>
    </row>
    <row r="192" spans="1:2" x14ac:dyDescent="0.45">
      <c r="A192" s="5">
        <v>3.886934673366834</v>
      </c>
      <c r="B192" s="5">
        <v>0.74698492462311528</v>
      </c>
    </row>
    <row r="193" spans="1:2" x14ac:dyDescent="0.45">
      <c r="A193" s="5">
        <v>3.8994974874371859</v>
      </c>
      <c r="B193" s="5">
        <v>0.73065326633165828</v>
      </c>
    </row>
    <row r="194" spans="1:2" x14ac:dyDescent="0.45">
      <c r="A194" s="5">
        <v>3.9120603015075379</v>
      </c>
      <c r="B194" s="5">
        <v>0.71432160804020073</v>
      </c>
    </row>
    <row r="195" spans="1:2" x14ac:dyDescent="0.45">
      <c r="A195" s="5">
        <v>3.924623115577889</v>
      </c>
      <c r="B195" s="5">
        <v>0.69798994974874373</v>
      </c>
    </row>
    <row r="196" spans="1:2" x14ac:dyDescent="0.45">
      <c r="A196" s="5">
        <v>3.937185929648241</v>
      </c>
      <c r="B196" s="5">
        <v>0.68165829145728607</v>
      </c>
    </row>
    <row r="197" spans="1:2" x14ac:dyDescent="0.45">
      <c r="A197" s="5">
        <v>3.949748743718593</v>
      </c>
      <c r="B197" s="5">
        <v>0.66532663316582907</v>
      </c>
    </row>
    <row r="198" spans="1:2" x14ac:dyDescent="0.45">
      <c r="A198" s="5">
        <v>3.9623115577889449</v>
      </c>
      <c r="B198" s="5">
        <v>0.64899497487437152</v>
      </c>
    </row>
    <row r="199" spans="1:2" x14ac:dyDescent="0.45">
      <c r="A199" s="5">
        <v>3.974874371859296</v>
      </c>
      <c r="B199" s="5">
        <v>0.63266331658291453</v>
      </c>
    </row>
    <row r="200" spans="1:2" x14ac:dyDescent="0.45">
      <c r="A200" s="5">
        <v>3.987437185929648</v>
      </c>
      <c r="B200" s="5">
        <v>0.61633165829145697</v>
      </c>
    </row>
    <row r="201" spans="1:2" x14ac:dyDescent="0.45">
      <c r="A201" s="5">
        <v>4</v>
      </c>
      <c r="B201" s="5">
        <v>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2"/>
  <sheetViews>
    <sheetView workbookViewId="0"/>
  </sheetViews>
  <sheetFormatPr defaultRowHeight="14.25" x14ac:dyDescent="0.45"/>
  <cols>
    <col min="1" max="2" width="16.73046875" customWidth="1"/>
  </cols>
  <sheetData>
    <row r="1" spans="1:2" x14ac:dyDescent="0.45">
      <c r="A1" s="4" t="s">
        <v>35</v>
      </c>
      <c r="B1" s="4" t="s">
        <v>36</v>
      </c>
    </row>
    <row r="2" spans="1:2" x14ac:dyDescent="0.45">
      <c r="A2" s="5">
        <v>1.5</v>
      </c>
      <c r="B2" s="5">
        <v>3.0197777777777768</v>
      </c>
    </row>
    <row r="3" spans="1:2" x14ac:dyDescent="0.45">
      <c r="A3" s="5">
        <v>1.51</v>
      </c>
      <c r="B3" s="5">
        <v>3.0072316565062929</v>
      </c>
    </row>
    <row r="4" spans="1:2" x14ac:dyDescent="0.45">
      <c r="A4" s="5">
        <v>1.52</v>
      </c>
      <c r="B4" s="5">
        <v>2.9945522853185591</v>
      </c>
    </row>
    <row r="5" spans="1:2" x14ac:dyDescent="0.45">
      <c r="A5" s="5">
        <v>1.53</v>
      </c>
      <c r="B5" s="5">
        <v>2.9817480883420902</v>
      </c>
    </row>
    <row r="6" spans="1:2" x14ac:dyDescent="0.45">
      <c r="A6" s="5">
        <v>1.54</v>
      </c>
      <c r="B6" s="5">
        <v>2.968827120931016</v>
      </c>
    </row>
    <row r="7" spans="1:2" x14ac:dyDescent="0.45">
      <c r="A7" s="5">
        <v>1.55</v>
      </c>
      <c r="B7" s="5">
        <v>2.9557970863683671</v>
      </c>
    </row>
    <row r="8" spans="1:2" x14ac:dyDescent="0.45">
      <c r="A8" s="5">
        <v>1.56</v>
      </c>
      <c r="B8" s="5">
        <v>2.9426653517422738</v>
      </c>
    </row>
    <row r="9" spans="1:2" x14ac:dyDescent="0.45">
      <c r="A9" s="5">
        <v>1.57</v>
      </c>
      <c r="B9" s="5">
        <v>2.929438963041096</v>
      </c>
    </row>
    <row r="10" spans="1:2" x14ac:dyDescent="0.45">
      <c r="A10" s="5">
        <v>1.58</v>
      </c>
      <c r="B10" s="5">
        <v>2.9161246595096939</v>
      </c>
    </row>
    <row r="11" spans="1:2" x14ac:dyDescent="0.45">
      <c r="A11" s="5">
        <v>1.59</v>
      </c>
      <c r="B11" s="5">
        <v>2.9027288873066728</v>
      </c>
    </row>
    <row r="12" spans="1:2" x14ac:dyDescent="0.45">
      <c r="A12" s="5">
        <v>1.6</v>
      </c>
      <c r="B12" s="5">
        <v>2.889257812499999</v>
      </c>
    </row>
    <row r="13" spans="1:2" x14ac:dyDescent="0.45">
      <c r="A13" s="5">
        <v>1.61</v>
      </c>
      <c r="B13" s="5">
        <v>2.8757173334362101</v>
      </c>
    </row>
    <row r="14" spans="1:2" x14ac:dyDescent="0.45">
      <c r="A14" s="5">
        <v>1.62</v>
      </c>
      <c r="B14" s="5">
        <v>2.8621130925163838</v>
      </c>
    </row>
    <row r="15" spans="1:2" x14ac:dyDescent="0.45">
      <c r="A15" s="5">
        <v>1.63</v>
      </c>
      <c r="B15" s="5">
        <v>2.8484504874101391</v>
      </c>
    </row>
    <row r="16" spans="1:2" x14ac:dyDescent="0.45">
      <c r="A16" s="5">
        <v>1.64</v>
      </c>
      <c r="B16" s="5">
        <v>2.8347346817370598</v>
      </c>
    </row>
    <row r="17" spans="1:2" x14ac:dyDescent="0.45">
      <c r="A17" s="5">
        <v>1.65</v>
      </c>
      <c r="B17" s="5">
        <v>2.820970615243342</v>
      </c>
    </row>
    <row r="18" spans="1:2" x14ac:dyDescent="0.45">
      <c r="A18" s="5">
        <v>1.66</v>
      </c>
      <c r="B18" s="5">
        <v>2.8071630134997809</v>
      </c>
    </row>
    <row r="19" spans="1:2" x14ac:dyDescent="0.45">
      <c r="A19" s="5">
        <v>1.67</v>
      </c>
      <c r="B19" s="5">
        <v>2.7933163971458281</v>
      </c>
    </row>
    <row r="20" spans="1:2" x14ac:dyDescent="0.45">
      <c r="A20" s="5">
        <v>1.68</v>
      </c>
      <c r="B20" s="5">
        <v>2.7794350907029481</v>
      </c>
    </row>
    <row r="21" spans="1:2" x14ac:dyDescent="0.45">
      <c r="A21" s="5">
        <v>1.69</v>
      </c>
      <c r="B21" s="5">
        <v>2.7655232309793072</v>
      </c>
    </row>
    <row r="22" spans="1:2" x14ac:dyDescent="0.45">
      <c r="A22" s="5">
        <v>1.7</v>
      </c>
      <c r="B22" s="5">
        <v>2.7515847750865041</v>
      </c>
    </row>
    <row r="23" spans="1:2" x14ac:dyDescent="0.45">
      <c r="A23" s="5">
        <v>1.71</v>
      </c>
      <c r="B23" s="5">
        <v>2.7376235080879581</v>
      </c>
    </row>
    <row r="24" spans="1:2" x14ac:dyDescent="0.45">
      <c r="A24" s="5">
        <v>1.72</v>
      </c>
      <c r="B24" s="5">
        <v>2.7236430502974569</v>
      </c>
    </row>
    <row r="25" spans="1:2" x14ac:dyDescent="0.45">
      <c r="A25" s="5">
        <v>1.73</v>
      </c>
      <c r="B25" s="5">
        <v>2.7096468642453799</v>
      </c>
    </row>
    <row r="26" spans="1:2" x14ac:dyDescent="0.45">
      <c r="A26" s="5">
        <v>1.74</v>
      </c>
      <c r="B26" s="5">
        <v>2.6956382613291039</v>
      </c>
    </row>
    <row r="27" spans="1:2" x14ac:dyDescent="0.45">
      <c r="A27" s="5">
        <v>1.75</v>
      </c>
      <c r="B27" s="5">
        <v>2.6816204081632651</v>
      </c>
    </row>
    <row r="28" spans="1:2" x14ac:dyDescent="0.45">
      <c r="A28" s="5">
        <v>1.76</v>
      </c>
      <c r="B28" s="5">
        <v>2.667596332644627</v>
      </c>
    </row>
    <row r="29" spans="1:2" x14ac:dyDescent="0.45">
      <c r="A29" s="5">
        <v>1.77</v>
      </c>
      <c r="B29" s="5">
        <v>2.6535689297456031</v>
      </c>
    </row>
    <row r="30" spans="1:2" x14ac:dyDescent="0.45">
      <c r="A30" s="5">
        <v>1.78</v>
      </c>
      <c r="B30" s="5">
        <v>2.6395409670496139</v>
      </c>
    </row>
    <row r="31" spans="1:2" x14ac:dyDescent="0.45">
      <c r="A31" s="5">
        <v>1.79</v>
      </c>
      <c r="B31" s="5">
        <v>2.625515090040885</v>
      </c>
    </row>
    <row r="32" spans="1:2" x14ac:dyDescent="0.45">
      <c r="A32" s="5">
        <v>1.8</v>
      </c>
      <c r="B32" s="5">
        <v>2.6114938271604942</v>
      </c>
    </row>
    <row r="33" spans="1:2" x14ac:dyDescent="0.45">
      <c r="A33" s="5">
        <v>1.81</v>
      </c>
      <c r="B33" s="5">
        <v>2.5974795946399669</v>
      </c>
    </row>
    <row r="34" spans="1:2" x14ac:dyDescent="0.45">
      <c r="A34" s="5">
        <v>1.82</v>
      </c>
      <c r="B34" s="5">
        <v>2.5834747011230519</v>
      </c>
    </row>
    <row r="35" spans="1:2" x14ac:dyDescent="0.45">
      <c r="A35" s="5">
        <v>1.83</v>
      </c>
      <c r="B35" s="5">
        <v>2.5694813520857589</v>
      </c>
    </row>
    <row r="36" spans="1:2" x14ac:dyDescent="0.45">
      <c r="A36" s="5">
        <v>1.84</v>
      </c>
      <c r="B36" s="5">
        <v>2.5555016540642712</v>
      </c>
    </row>
    <row r="37" spans="1:2" x14ac:dyDescent="0.45">
      <c r="A37" s="5">
        <v>1.85</v>
      </c>
      <c r="B37" s="5">
        <v>2.5415376186997811</v>
      </c>
    </row>
    <row r="38" spans="1:2" x14ac:dyDescent="0.45">
      <c r="A38" s="5">
        <v>1.86</v>
      </c>
      <c r="B38" s="5">
        <v>2.5275911666088571</v>
      </c>
    </row>
    <row r="39" spans="1:2" x14ac:dyDescent="0.45">
      <c r="A39" s="5">
        <v>1.87</v>
      </c>
      <c r="B39" s="5">
        <v>2.5136641310875349</v>
      </c>
    </row>
    <row r="40" spans="1:2" x14ac:dyDescent="0.45">
      <c r="A40" s="5">
        <v>1.88</v>
      </c>
      <c r="B40" s="5">
        <v>2.4997582616568579</v>
      </c>
    </row>
    <row r="41" spans="1:2" x14ac:dyDescent="0.45">
      <c r="A41" s="5">
        <v>1.89</v>
      </c>
      <c r="B41" s="5">
        <v>2.485875227457238</v>
      </c>
    </row>
    <row r="42" spans="1:2" x14ac:dyDescent="0.45">
      <c r="A42" s="5">
        <v>1.9</v>
      </c>
      <c r="B42" s="5">
        <v>2.4720166204986151</v>
      </c>
    </row>
    <row r="43" spans="1:2" x14ac:dyDescent="0.45">
      <c r="A43" s="5">
        <v>1.91</v>
      </c>
      <c r="B43" s="5">
        <v>2.4581839587730592</v>
      </c>
    </row>
    <row r="44" spans="1:2" x14ac:dyDescent="0.45">
      <c r="A44" s="5">
        <v>1.92</v>
      </c>
      <c r="B44" s="5">
        <v>2.4443786892361108</v>
      </c>
    </row>
    <row r="45" spans="1:2" x14ac:dyDescent="0.45">
      <c r="A45" s="5">
        <v>1.93</v>
      </c>
      <c r="B45" s="5">
        <v>2.430602190662837</v>
      </c>
    </row>
    <row r="46" spans="1:2" x14ac:dyDescent="0.45">
      <c r="A46" s="5">
        <v>1.94</v>
      </c>
      <c r="B46" s="5">
        <v>2.4168557763843128</v>
      </c>
    </row>
    <row r="47" spans="1:2" x14ac:dyDescent="0.45">
      <c r="A47" s="5">
        <v>1.95</v>
      </c>
      <c r="B47" s="5">
        <v>2.4031406969099272</v>
      </c>
    </row>
    <row r="48" spans="1:2" x14ac:dyDescent="0.45">
      <c r="A48" s="5">
        <v>1.96</v>
      </c>
      <c r="B48" s="5">
        <v>2.3894581424406489</v>
      </c>
    </row>
    <row r="49" spans="1:2" x14ac:dyDescent="0.45">
      <c r="A49" s="5">
        <v>1.97</v>
      </c>
      <c r="B49" s="5">
        <v>2.3758092452781572</v>
      </c>
    </row>
    <row r="50" spans="1:2" x14ac:dyDescent="0.45">
      <c r="A50" s="5">
        <v>1.98</v>
      </c>
      <c r="B50" s="5">
        <v>2.362195082134475</v>
      </c>
    </row>
    <row r="51" spans="1:2" x14ac:dyDescent="0.45">
      <c r="A51" s="5">
        <v>1.99</v>
      </c>
      <c r="B51" s="5">
        <v>2.3486166763465568</v>
      </c>
    </row>
    <row r="52" spans="1:2" x14ac:dyDescent="0.45">
      <c r="A52" s="5">
        <v>2</v>
      </c>
      <c r="B52" s="5">
        <v>2.3350749999999989</v>
      </c>
    </row>
    <row r="53" spans="1:2" x14ac:dyDescent="0.45">
      <c r="A53" s="5">
        <v>2.0099999999999998</v>
      </c>
      <c r="B53" s="5">
        <v>2.3215709759659422</v>
      </c>
    </row>
    <row r="54" spans="1:2" x14ac:dyDescent="0.45">
      <c r="A54" s="5">
        <v>2.02</v>
      </c>
      <c r="B54" s="5">
        <v>2.3081054798549161</v>
      </c>
    </row>
    <row r="55" spans="1:2" x14ac:dyDescent="0.45">
      <c r="A55" s="5">
        <v>2.0299999999999998</v>
      </c>
      <c r="B55" s="5">
        <v>2.2946793418913338</v>
      </c>
    </row>
    <row r="56" spans="1:2" x14ac:dyDescent="0.45">
      <c r="A56" s="5">
        <v>2.04</v>
      </c>
      <c r="B56" s="5">
        <v>2.2812933487120328</v>
      </c>
    </row>
    <row r="57" spans="1:2" x14ac:dyDescent="0.45">
      <c r="A57" s="5">
        <v>2.0499999999999998</v>
      </c>
      <c r="B57" s="5">
        <v>2.267948245092207</v>
      </c>
    </row>
    <row r="58" spans="1:2" x14ac:dyDescent="0.45">
      <c r="A58" s="5">
        <v>2.06</v>
      </c>
      <c r="B58" s="5">
        <v>2.2546447356018469</v>
      </c>
    </row>
    <row r="59" spans="1:2" x14ac:dyDescent="0.45">
      <c r="A59" s="5">
        <v>2.0699999999999998</v>
      </c>
      <c r="B59" s="5">
        <v>2.2413834861957098</v>
      </c>
    </row>
    <row r="60" spans="1:2" x14ac:dyDescent="0.45">
      <c r="A60" s="5">
        <v>2.08</v>
      </c>
      <c r="B60" s="5">
        <v>2.2281651257396451</v>
      </c>
    </row>
    <row r="61" spans="1:2" x14ac:dyDescent="0.45">
      <c r="A61" s="5">
        <v>2.09</v>
      </c>
      <c r="B61" s="5">
        <v>2.214990247476019</v>
      </c>
    </row>
    <row r="62" spans="1:2" x14ac:dyDescent="0.45">
      <c r="A62" s="5">
        <v>2.1</v>
      </c>
      <c r="B62" s="5">
        <v>2.201859410430838</v>
      </c>
    </row>
    <row r="63" spans="1:2" x14ac:dyDescent="0.45">
      <c r="A63" s="5">
        <v>2.11</v>
      </c>
      <c r="B63" s="5">
        <v>2.1887731407650319</v>
      </c>
    </row>
    <row r="64" spans="1:2" x14ac:dyDescent="0.45">
      <c r="A64" s="5">
        <v>2.12</v>
      </c>
      <c r="B64" s="5">
        <v>2.1757319330722682</v>
      </c>
    </row>
    <row r="65" spans="1:2" x14ac:dyDescent="0.45">
      <c r="A65" s="5">
        <v>2.13</v>
      </c>
      <c r="B65" s="5">
        <v>2.1627362516255588</v>
      </c>
    </row>
    <row r="66" spans="1:2" x14ac:dyDescent="0.45">
      <c r="A66" s="5">
        <v>2.14</v>
      </c>
      <c r="B66" s="5">
        <v>2.1497865315748088</v>
      </c>
    </row>
    <row r="67" spans="1:2" x14ac:dyDescent="0.45">
      <c r="A67" s="5">
        <v>2.15</v>
      </c>
      <c r="B67" s="5">
        <v>2.1368831800973491</v>
      </c>
    </row>
    <row r="68" spans="1:2" x14ac:dyDescent="0.45">
      <c r="A68" s="5">
        <v>2.16</v>
      </c>
      <c r="B68" s="5">
        <v>2.1240265775034279</v>
      </c>
    </row>
    <row r="69" spans="1:2" x14ac:dyDescent="0.45">
      <c r="A69" s="5">
        <v>2.17</v>
      </c>
      <c r="B69" s="5">
        <v>2.1112170782985409</v>
      </c>
    </row>
    <row r="70" spans="1:2" x14ac:dyDescent="0.45">
      <c r="A70" s="5">
        <v>2.1800000000000002</v>
      </c>
      <c r="B70" s="5">
        <v>2.0984550122043588</v>
      </c>
    </row>
    <row r="71" spans="1:2" x14ac:dyDescent="0.45">
      <c r="A71" s="5">
        <v>2.19</v>
      </c>
      <c r="B71" s="5">
        <v>2.0857406851400091</v>
      </c>
    </row>
    <row r="72" spans="1:2" x14ac:dyDescent="0.45">
      <c r="A72" s="5">
        <v>2.2000000000000002</v>
      </c>
      <c r="B72" s="5">
        <v>2.0730743801652882</v>
      </c>
    </row>
    <row r="73" spans="1:2" x14ac:dyDescent="0.45">
      <c r="A73" s="5">
        <v>2.21</v>
      </c>
      <c r="B73" s="5">
        <v>2.06045635838742</v>
      </c>
    </row>
    <row r="74" spans="1:2" x14ac:dyDescent="0.45">
      <c r="A74" s="5">
        <v>2.2200000000000002</v>
      </c>
      <c r="B74" s="5">
        <v>2.0478868598328059</v>
      </c>
    </row>
    <row r="75" spans="1:2" x14ac:dyDescent="0.45">
      <c r="A75" s="5">
        <v>2.23</v>
      </c>
      <c r="B75" s="5">
        <v>2.0353661042852251</v>
      </c>
    </row>
    <row r="76" spans="1:2" x14ac:dyDescent="0.45">
      <c r="A76" s="5">
        <v>2.2400000000000002</v>
      </c>
      <c r="B76" s="5">
        <v>2.022894292091836</v>
      </c>
    </row>
    <row r="77" spans="1:2" x14ac:dyDescent="0.45">
      <c r="A77" s="5">
        <v>2.25</v>
      </c>
      <c r="B77" s="5">
        <v>2.0104716049382709</v>
      </c>
    </row>
    <row r="78" spans="1:2" x14ac:dyDescent="0.45">
      <c r="A78" s="5">
        <v>2.2599999999999998</v>
      </c>
      <c r="B78" s="5">
        <v>1.9980982065940951</v>
      </c>
    </row>
    <row r="79" spans="1:2" x14ac:dyDescent="0.45">
      <c r="A79" s="5">
        <v>2.27</v>
      </c>
      <c r="B79" s="5">
        <v>1.9857742436298</v>
      </c>
    </row>
    <row r="80" spans="1:2" x14ac:dyDescent="0.45">
      <c r="A80" s="5">
        <v>2.2799999999999998</v>
      </c>
      <c r="B80" s="5">
        <v>1.973499846106493</v>
      </c>
    </row>
    <row r="81" spans="1:2" x14ac:dyDescent="0.45">
      <c r="A81" s="5">
        <v>2.29</v>
      </c>
      <c r="B81" s="5">
        <v>1.961275128239353</v>
      </c>
    </row>
    <row r="82" spans="1:2" x14ac:dyDescent="0.45">
      <c r="A82" s="5">
        <v>2.2999999999999998</v>
      </c>
      <c r="B82" s="5">
        <v>1.949100189035917</v>
      </c>
    </row>
    <row r="83" spans="1:2" x14ac:dyDescent="0.45">
      <c r="A83" s="5">
        <v>2.31</v>
      </c>
      <c r="B83" s="5">
        <v>1.9369751129101771</v>
      </c>
    </row>
    <row r="84" spans="1:2" x14ac:dyDescent="0.45">
      <c r="A84" s="5">
        <v>2.3199999999999998</v>
      </c>
      <c r="B84" s="5">
        <v>1.924899970273483</v>
      </c>
    </row>
    <row r="85" spans="1:2" x14ac:dyDescent="0.45">
      <c r="A85" s="5">
        <v>2.33</v>
      </c>
      <c r="B85" s="5">
        <v>1.912874818103115</v>
      </c>
    </row>
    <row r="86" spans="1:2" x14ac:dyDescent="0.45">
      <c r="A86" s="5">
        <v>2.34</v>
      </c>
      <c r="B86" s="5">
        <v>1.9008997004894439</v>
      </c>
    </row>
    <row r="87" spans="1:2" x14ac:dyDescent="0.45">
      <c r="A87" s="5">
        <v>2.35</v>
      </c>
      <c r="B87" s="5">
        <v>1.8889746491625159</v>
      </c>
    </row>
    <row r="88" spans="1:2" x14ac:dyDescent="0.45">
      <c r="A88" s="5">
        <v>2.36</v>
      </c>
      <c r="B88" s="5">
        <v>1.877099683998851</v>
      </c>
    </row>
    <row r="89" spans="1:2" x14ac:dyDescent="0.45">
      <c r="A89" s="5">
        <v>2.37</v>
      </c>
      <c r="B89" s="5">
        <v>1.865274813509231</v>
      </c>
    </row>
    <row r="90" spans="1:2" x14ac:dyDescent="0.45">
      <c r="A90" s="5">
        <v>2.38</v>
      </c>
      <c r="B90" s="5">
        <v>1.8535000353082409</v>
      </c>
    </row>
    <row r="91" spans="1:2" x14ac:dyDescent="0.45">
      <c r="A91" s="5">
        <v>2.39</v>
      </c>
      <c r="B91" s="5">
        <v>1.8417753365662359</v>
      </c>
    </row>
    <row r="92" spans="1:2" x14ac:dyDescent="0.45">
      <c r="A92" s="5">
        <v>2.4</v>
      </c>
      <c r="B92" s="5">
        <v>1.830100694444444</v>
      </c>
    </row>
    <row r="93" spans="1:2" x14ac:dyDescent="0.45">
      <c r="A93" s="5">
        <v>2.41</v>
      </c>
      <c r="B93" s="5">
        <v>1.818476076513833</v>
      </c>
    </row>
    <row r="94" spans="1:2" x14ac:dyDescent="0.45">
      <c r="A94" s="5">
        <v>2.42</v>
      </c>
      <c r="B94" s="5">
        <v>1.8069014411583899</v>
      </c>
    </row>
    <row r="95" spans="1:2" x14ac:dyDescent="0.45">
      <c r="A95" s="5">
        <v>2.4300000000000002</v>
      </c>
      <c r="B95" s="5">
        <v>1.7953767379633849</v>
      </c>
    </row>
    <row r="96" spans="1:2" x14ac:dyDescent="0.45">
      <c r="A96" s="5">
        <v>2.44</v>
      </c>
      <c r="B96" s="5">
        <v>1.7839019080892231</v>
      </c>
    </row>
    <row r="97" spans="1:2" x14ac:dyDescent="0.45">
      <c r="A97" s="5">
        <v>2.4500000000000002</v>
      </c>
      <c r="B97" s="5">
        <v>1.772476884631403</v>
      </c>
    </row>
    <row r="98" spans="1:2" x14ac:dyDescent="0.45">
      <c r="A98" s="5">
        <v>2.46</v>
      </c>
      <c r="B98" s="5">
        <v>1.761101592967149</v>
      </c>
    </row>
    <row r="99" spans="1:2" x14ac:dyDescent="0.45">
      <c r="A99" s="5">
        <v>2.4700000000000002</v>
      </c>
      <c r="B99" s="5">
        <v>1.749775951089183</v>
      </c>
    </row>
    <row r="100" spans="1:2" x14ac:dyDescent="0.45">
      <c r="A100" s="5">
        <v>2.48</v>
      </c>
      <c r="B100" s="5">
        <v>1.7384998699271581</v>
      </c>
    </row>
    <row r="101" spans="1:2" x14ac:dyDescent="0.45">
      <c r="A101" s="5">
        <v>2.4900000000000002</v>
      </c>
      <c r="B101" s="5">
        <v>1.727273253657198</v>
      </c>
    </row>
    <row r="102" spans="1:2" x14ac:dyDescent="0.45">
      <c r="A102" s="5">
        <v>2.5</v>
      </c>
      <c r="B102" s="5">
        <v>1.7160960000000001</v>
      </c>
    </row>
    <row r="103" spans="1:2" x14ac:dyDescent="0.45">
      <c r="A103" s="5">
        <v>2.5099999999999998</v>
      </c>
      <c r="B103" s="5">
        <v>1.704968000507928</v>
      </c>
    </row>
    <row r="104" spans="1:2" x14ac:dyDescent="0.45">
      <c r="A104" s="5">
        <v>2.52</v>
      </c>
      <c r="B104" s="5">
        <v>1.693889140841522</v>
      </c>
    </row>
    <row r="105" spans="1:2" x14ac:dyDescent="0.45">
      <c r="A105" s="5">
        <v>2.5299999999999998</v>
      </c>
      <c r="B105" s="5">
        <v>1.6828593010357911</v>
      </c>
    </row>
    <row r="106" spans="1:2" x14ac:dyDescent="0.45">
      <c r="A106" s="5">
        <v>2.54</v>
      </c>
      <c r="B106" s="5">
        <v>1.671878355756711</v>
      </c>
    </row>
    <row r="107" spans="1:2" x14ac:dyDescent="0.45">
      <c r="A107" s="5">
        <v>2.5499999999999998</v>
      </c>
      <c r="B107" s="5">
        <v>1.6609461745482501</v>
      </c>
    </row>
    <row r="108" spans="1:2" x14ac:dyDescent="0.45">
      <c r="A108" s="5">
        <v>2.56</v>
      </c>
      <c r="B108" s="5">
        <v>1.6500626220703121</v>
      </c>
    </row>
    <row r="109" spans="1:2" x14ac:dyDescent="0.45">
      <c r="A109" s="5">
        <v>2.57</v>
      </c>
      <c r="B109" s="5">
        <v>1.639227558327907</v>
      </c>
    </row>
    <row r="110" spans="1:2" x14ac:dyDescent="0.45">
      <c r="A110" s="5">
        <v>2.58</v>
      </c>
      <c r="B110" s="5">
        <v>1.628440838891893</v>
      </c>
    </row>
    <row r="111" spans="1:2" x14ac:dyDescent="0.45">
      <c r="A111" s="5">
        <v>2.59</v>
      </c>
      <c r="B111" s="5">
        <v>1.617702315111581</v>
      </c>
    </row>
    <row r="112" spans="1:2" x14ac:dyDescent="0.45">
      <c r="A112" s="5">
        <v>2.6</v>
      </c>
      <c r="B112" s="5">
        <v>1.6070118343195261</v>
      </c>
    </row>
    <row r="113" spans="1:2" x14ac:dyDescent="0.45">
      <c r="A113" s="5">
        <v>2.61</v>
      </c>
      <c r="B113" s="5">
        <v>1.5963692400287719</v>
      </c>
    </row>
    <row r="114" spans="1:2" x14ac:dyDescent="0.45">
      <c r="A114" s="5">
        <v>2.62</v>
      </c>
      <c r="B114" s="5">
        <v>1.5857743721228359</v>
      </c>
    </row>
    <row r="115" spans="1:2" x14ac:dyDescent="0.45">
      <c r="A115" s="5">
        <v>2.63</v>
      </c>
      <c r="B115" s="5">
        <v>1.5752270670387021</v>
      </c>
    </row>
    <row r="116" spans="1:2" x14ac:dyDescent="0.45">
      <c r="A116" s="5">
        <v>2.64</v>
      </c>
      <c r="B116" s="5">
        <v>1.5647271579430659</v>
      </c>
    </row>
    <row r="117" spans="1:2" x14ac:dyDescent="0.45">
      <c r="A117" s="5">
        <v>2.65</v>
      </c>
      <c r="B117" s="5">
        <v>1.5542744749020989</v>
      </c>
    </row>
    <row r="118" spans="1:2" x14ac:dyDescent="0.45">
      <c r="A118" s="5">
        <v>2.66</v>
      </c>
      <c r="B118" s="5">
        <v>1.5438688450449429</v>
      </c>
    </row>
    <row r="119" spans="1:2" x14ac:dyDescent="0.45">
      <c r="A119" s="5">
        <v>2.67</v>
      </c>
      <c r="B119" s="5">
        <v>1.533510092721178</v>
      </c>
    </row>
    <row r="120" spans="1:2" x14ac:dyDescent="0.45">
      <c r="A120" s="5">
        <v>2.68</v>
      </c>
      <c r="B120" s="5">
        <v>1.5231980396524829</v>
      </c>
    </row>
    <row r="121" spans="1:2" x14ac:dyDescent="0.45">
      <c r="A121" s="5">
        <v>2.69</v>
      </c>
      <c r="B121" s="5">
        <v>1.512932505078703</v>
      </c>
    </row>
    <row r="122" spans="1:2" x14ac:dyDescent="0.45">
      <c r="A122" s="5">
        <v>2.7</v>
      </c>
      <c r="B122" s="5">
        <v>1.5027133058984909</v>
      </c>
    </row>
    <row r="123" spans="1:2" x14ac:dyDescent="0.45">
      <c r="A123" s="5">
        <v>2.71</v>
      </c>
      <c r="B123" s="5">
        <v>1.4925402568047821</v>
      </c>
    </row>
    <row r="124" spans="1:2" x14ac:dyDescent="0.45">
      <c r="A124" s="5">
        <v>2.72</v>
      </c>
      <c r="B124" s="5">
        <v>1.4824131704152239</v>
      </c>
    </row>
    <row r="125" spans="1:2" x14ac:dyDescent="0.45">
      <c r="A125" s="5">
        <v>2.73</v>
      </c>
      <c r="B125" s="5">
        <v>1.472331857397791</v>
      </c>
    </row>
    <row r="126" spans="1:2" x14ac:dyDescent="0.45">
      <c r="A126" s="5">
        <v>2.74</v>
      </c>
      <c r="B126" s="5">
        <v>1.46229612659172</v>
      </c>
    </row>
    <row r="127" spans="1:2" x14ac:dyDescent="0.45">
      <c r="A127" s="5">
        <v>2.75</v>
      </c>
      <c r="B127" s="5">
        <v>1.4523057851239669</v>
      </c>
    </row>
    <row r="128" spans="1:2" x14ac:dyDescent="0.45">
      <c r="A128" s="5">
        <v>2.76</v>
      </c>
      <c r="B128" s="5">
        <v>1.442360638521319</v>
      </c>
    </row>
    <row r="129" spans="1:2" x14ac:dyDescent="0.45">
      <c r="A129" s="5">
        <v>2.77</v>
      </c>
      <c r="B129" s="5">
        <v>1.4324604908183349</v>
      </c>
    </row>
    <row r="130" spans="1:2" x14ac:dyDescent="0.45">
      <c r="A130" s="5">
        <v>2.78</v>
      </c>
      <c r="B130" s="5">
        <v>1.4226051446612491</v>
      </c>
    </row>
    <row r="131" spans="1:2" x14ac:dyDescent="0.45">
      <c r="A131" s="5">
        <v>2.79</v>
      </c>
      <c r="B131" s="5">
        <v>1.4127944014079981</v>
      </c>
    </row>
    <row r="132" spans="1:2" x14ac:dyDescent="0.45">
      <c r="A132" s="5">
        <v>2.8</v>
      </c>
      <c r="B132" s="5">
        <v>1.403028061224489</v>
      </c>
    </row>
    <row r="133" spans="1:2" x14ac:dyDescent="0.45">
      <c r="A133" s="5">
        <v>2.81</v>
      </c>
      <c r="B133" s="5">
        <v>1.393305923177264</v>
      </c>
    </row>
    <row r="134" spans="1:2" x14ac:dyDescent="0.45">
      <c r="A134" s="5">
        <v>2.82</v>
      </c>
      <c r="B134" s="5">
        <v>1.3836277853226691</v>
      </c>
    </row>
    <row r="135" spans="1:2" x14ac:dyDescent="0.45">
      <c r="A135" s="5">
        <v>2.83</v>
      </c>
      <c r="B135" s="5">
        <v>1.3739934447926681</v>
      </c>
    </row>
    <row r="136" spans="1:2" x14ac:dyDescent="0.45">
      <c r="A136" s="5">
        <v>2.84</v>
      </c>
      <c r="B136" s="5">
        <v>1.3644026978774051</v>
      </c>
    </row>
    <row r="137" spans="1:2" x14ac:dyDescent="0.45">
      <c r="A137" s="5">
        <v>2.85</v>
      </c>
      <c r="B137" s="5">
        <v>1.354855340104647</v>
      </c>
    </row>
    <row r="138" spans="1:2" x14ac:dyDescent="0.45">
      <c r="A138" s="5">
        <v>2.86</v>
      </c>
      <c r="B138" s="5">
        <v>1.345351166316201</v>
      </c>
    </row>
    <row r="139" spans="1:2" x14ac:dyDescent="0.45">
      <c r="A139" s="5">
        <v>2.87</v>
      </c>
      <c r="B139" s="5">
        <v>1.3358899707414189</v>
      </c>
    </row>
    <row r="140" spans="1:2" x14ac:dyDescent="0.45">
      <c r="A140" s="5">
        <v>2.88</v>
      </c>
      <c r="B140" s="5">
        <v>1.3264715470679009</v>
      </c>
    </row>
    <row r="141" spans="1:2" x14ac:dyDescent="0.45">
      <c r="A141" s="5">
        <v>2.89</v>
      </c>
      <c r="B141" s="5">
        <v>1.317095688509476</v>
      </c>
    </row>
    <row r="142" spans="1:2" x14ac:dyDescent="0.45">
      <c r="A142" s="5">
        <v>2.9</v>
      </c>
      <c r="B142" s="5">
        <v>1.3077621878715799</v>
      </c>
    </row>
    <row r="143" spans="1:2" x14ac:dyDescent="0.45">
      <c r="A143" s="5">
        <v>2.91</v>
      </c>
      <c r="B143" s="5">
        <v>1.2984708376141041</v>
      </c>
    </row>
    <row r="144" spans="1:2" x14ac:dyDescent="0.45">
      <c r="A144" s="5">
        <v>2.92</v>
      </c>
      <c r="B144" s="5">
        <v>1.289221429911803</v>
      </c>
    </row>
    <row r="145" spans="1:2" x14ac:dyDescent="0.45">
      <c r="A145" s="5">
        <v>2.93</v>
      </c>
      <c r="B145" s="5">
        <v>1.2800137567123659</v>
      </c>
    </row>
    <row r="146" spans="1:2" x14ac:dyDescent="0.45">
      <c r="A146" s="5">
        <v>2.94</v>
      </c>
      <c r="B146" s="5">
        <v>1.2708476097922159</v>
      </c>
    </row>
    <row r="147" spans="1:2" x14ac:dyDescent="0.45">
      <c r="A147" s="5">
        <v>2.95</v>
      </c>
      <c r="B147" s="5">
        <v>1.2617227808101119</v>
      </c>
    </row>
    <row r="148" spans="1:2" x14ac:dyDescent="0.45">
      <c r="A148" s="5">
        <v>2.96</v>
      </c>
      <c r="B148" s="5">
        <v>1.252639061358656</v>
      </c>
    </row>
    <row r="149" spans="1:2" x14ac:dyDescent="0.45">
      <c r="A149" s="5">
        <v>2.97</v>
      </c>
      <c r="B149" s="5">
        <v>1.243596243013751</v>
      </c>
    </row>
    <row r="150" spans="1:2" x14ac:dyDescent="0.45">
      <c r="A150" s="5">
        <v>2.98</v>
      </c>
      <c r="B150" s="5">
        <v>1.2345941173821</v>
      </c>
    </row>
    <row r="151" spans="1:2" x14ac:dyDescent="0.45">
      <c r="A151" s="5">
        <v>2.99</v>
      </c>
      <c r="B151" s="5">
        <v>1.225632476146798</v>
      </c>
    </row>
    <row r="152" spans="1:2" x14ac:dyDescent="0.45">
      <c r="A152" s="5">
        <v>3</v>
      </c>
      <c r="B152" s="5">
        <v>1.2167111111111111</v>
      </c>
    </row>
    <row r="153" spans="1:2" x14ac:dyDescent="0.45">
      <c r="A153" s="5">
        <v>3.01</v>
      </c>
      <c r="B153" s="5">
        <v>1.2078298142404611</v>
      </c>
    </row>
    <row r="154" spans="1:2" x14ac:dyDescent="0.45">
      <c r="A154" s="5">
        <v>3.02</v>
      </c>
      <c r="B154" s="5">
        <v>1.1989883777027319</v>
      </c>
    </row>
    <row r="155" spans="1:2" x14ac:dyDescent="0.45">
      <c r="A155" s="5">
        <v>3.03</v>
      </c>
      <c r="B155" s="5">
        <v>1.1901865939069149</v>
      </c>
    </row>
    <row r="156" spans="1:2" x14ac:dyDescent="0.45">
      <c r="A156" s="5">
        <v>3.04</v>
      </c>
      <c r="B156" s="5">
        <v>1.1814242555401659</v>
      </c>
    </row>
    <row r="157" spans="1:2" x14ac:dyDescent="0.45">
      <c r="A157" s="5">
        <v>3.05</v>
      </c>
      <c r="B157" s="5">
        <v>1.172701155603332</v>
      </c>
    </row>
    <row r="158" spans="1:2" x14ac:dyDescent="0.45">
      <c r="A158" s="5">
        <v>3.06</v>
      </c>
      <c r="B158" s="5">
        <v>1.164017087445</v>
      </c>
    </row>
    <row r="159" spans="1:2" x14ac:dyDescent="0.45">
      <c r="A159" s="5">
        <v>3.07</v>
      </c>
      <c r="B159" s="5">
        <v>1.155371844794109</v>
      </c>
    </row>
    <row r="160" spans="1:2" x14ac:dyDescent="0.45">
      <c r="A160" s="5">
        <v>3.08</v>
      </c>
      <c r="B160" s="5">
        <v>1.146765221791195</v>
      </c>
    </row>
    <row r="161" spans="1:2" x14ac:dyDescent="0.45">
      <c r="A161" s="5">
        <v>3.09</v>
      </c>
      <c r="B161" s="5">
        <v>1.138197013018297</v>
      </c>
    </row>
    <row r="162" spans="1:2" x14ac:dyDescent="0.45">
      <c r="A162" s="5">
        <v>3.1</v>
      </c>
      <c r="B162" s="5">
        <v>1.129667013527575</v>
      </c>
    </row>
    <row r="163" spans="1:2" x14ac:dyDescent="0.45">
      <c r="A163" s="5">
        <v>3.11</v>
      </c>
      <c r="B163" s="5">
        <v>1.121175018868704</v>
      </c>
    </row>
    <row r="164" spans="1:2" x14ac:dyDescent="0.45">
      <c r="A164" s="5">
        <v>3.12</v>
      </c>
      <c r="B164" s="5">
        <v>1.1127208251150551</v>
      </c>
    </row>
    <row r="165" spans="1:2" x14ac:dyDescent="0.45">
      <c r="A165" s="5">
        <v>3.13</v>
      </c>
      <c r="B165" s="5">
        <v>1.1043042288887299</v>
      </c>
    </row>
    <row r="166" spans="1:2" x14ac:dyDescent="0.45">
      <c r="A166" s="5">
        <v>3.14</v>
      </c>
      <c r="B166" s="5">
        <v>1.0959250273844781</v>
      </c>
    </row>
    <row r="167" spans="1:2" x14ac:dyDescent="0.45">
      <c r="A167" s="5">
        <v>3.15</v>
      </c>
      <c r="B167" s="5">
        <v>1.0875830183925419</v>
      </c>
    </row>
    <row r="168" spans="1:2" x14ac:dyDescent="0.45">
      <c r="A168" s="5">
        <v>3.16</v>
      </c>
      <c r="B168" s="5">
        <v>1.079278000320461</v>
      </c>
    </row>
    <row r="169" spans="1:2" x14ac:dyDescent="0.45">
      <c r="A169" s="5">
        <v>3.17</v>
      </c>
      <c r="B169" s="5">
        <v>1.0710097722138741</v>
      </c>
    </row>
    <row r="170" spans="1:2" x14ac:dyDescent="0.45">
      <c r="A170" s="5">
        <v>3.18</v>
      </c>
      <c r="B170" s="5">
        <v>1.0627781337763531</v>
      </c>
    </row>
    <row r="171" spans="1:2" x14ac:dyDescent="0.45">
      <c r="A171" s="5">
        <v>3.19</v>
      </c>
      <c r="B171" s="5">
        <v>1.054582885388311</v>
      </c>
    </row>
    <row r="172" spans="1:2" x14ac:dyDescent="0.45">
      <c r="A172" s="5">
        <v>3.2</v>
      </c>
      <c r="B172" s="5">
        <v>1.0464238281249989</v>
      </c>
    </row>
    <row r="173" spans="1:2" x14ac:dyDescent="0.45">
      <c r="A173" s="5">
        <v>3.21</v>
      </c>
      <c r="B173" s="5">
        <v>1.038300763773643</v>
      </c>
    </row>
    <row r="174" spans="1:2" x14ac:dyDescent="0.45">
      <c r="A174" s="5">
        <v>3.22</v>
      </c>
      <c r="B174" s="5">
        <v>1.0302134948497359</v>
      </c>
    </row>
    <row r="175" spans="1:2" x14ac:dyDescent="0.45">
      <c r="A175" s="5">
        <v>3.23</v>
      </c>
      <c r="B175" s="5">
        <v>1.022161824612523</v>
      </c>
    </row>
    <row r="176" spans="1:2" x14ac:dyDescent="0.45">
      <c r="A176" s="5">
        <v>3.24</v>
      </c>
      <c r="B176" s="5">
        <v>1.0141455570797131</v>
      </c>
    </row>
    <row r="177" spans="1:2" x14ac:dyDescent="0.45">
      <c r="A177" s="5">
        <v>3.25</v>
      </c>
      <c r="B177" s="5">
        <v>1.0061644970414201</v>
      </c>
    </row>
    <row r="178" spans="1:2" x14ac:dyDescent="0.45">
      <c r="A178" s="5">
        <v>3.26</v>
      </c>
      <c r="B178" s="5">
        <v>0.99821845007339371</v>
      </c>
    </row>
    <row r="179" spans="1:2" x14ac:dyDescent="0.45">
      <c r="A179" s="5">
        <v>3.27</v>
      </c>
      <c r="B179" s="5">
        <v>0.99030722254954195</v>
      </c>
    </row>
    <row r="180" spans="1:2" x14ac:dyDescent="0.45">
      <c r="A180" s="5">
        <v>3.28</v>
      </c>
      <c r="B180" s="5">
        <v>0.98243062165377681</v>
      </c>
    </row>
    <row r="181" spans="1:2" x14ac:dyDescent="0.45">
      <c r="A181" s="5">
        <v>3.29</v>
      </c>
      <c r="B181" s="5">
        <v>0.97458845539121031</v>
      </c>
    </row>
    <row r="182" spans="1:2" x14ac:dyDescent="0.45">
      <c r="A182" s="5">
        <v>3.3</v>
      </c>
      <c r="B182" s="5">
        <v>0.96678053259871399</v>
      </c>
    </row>
    <row r="183" spans="1:2" x14ac:dyDescent="0.45">
      <c r="A183" s="5">
        <v>3.31</v>
      </c>
      <c r="B183" s="5">
        <v>0.95900666295488346</v>
      </c>
    </row>
    <row r="184" spans="1:2" x14ac:dyDescent="0.45">
      <c r="A184" s="5">
        <v>3.32</v>
      </c>
      <c r="B184" s="5">
        <v>0.95126665698940283</v>
      </c>
    </row>
    <row r="185" spans="1:2" x14ac:dyDescent="0.45">
      <c r="A185" s="5">
        <v>3.33</v>
      </c>
      <c r="B185" s="5">
        <v>0.94356032609185725</v>
      </c>
    </row>
    <row r="186" spans="1:2" x14ac:dyDescent="0.45">
      <c r="A186" s="5">
        <v>3.34</v>
      </c>
      <c r="B186" s="5">
        <v>0.93588748251998988</v>
      </c>
    </row>
    <row r="187" spans="1:2" x14ac:dyDescent="0.45">
      <c r="A187" s="5">
        <v>3.35</v>
      </c>
      <c r="B187" s="5">
        <v>0.9282479394074401</v>
      </c>
    </row>
    <row r="188" spans="1:2" x14ac:dyDescent="0.45">
      <c r="A188" s="5">
        <v>3.36</v>
      </c>
      <c r="B188" s="5">
        <v>0.92064151077097423</v>
      </c>
    </row>
    <row r="189" spans="1:2" x14ac:dyDescent="0.45">
      <c r="A189" s="5">
        <v>3.37</v>
      </c>
      <c r="B189" s="5">
        <v>0.91306801151722716</v>
      </c>
    </row>
    <row r="190" spans="1:2" x14ac:dyDescent="0.45">
      <c r="A190" s="5">
        <v>3.38</v>
      </c>
      <c r="B190" s="5">
        <v>0.90552725744896856</v>
      </c>
    </row>
    <row r="191" spans="1:2" x14ac:dyDescent="0.45">
      <c r="A191" s="5">
        <v>3.39</v>
      </c>
      <c r="B191" s="5">
        <v>0.89801906527092479</v>
      </c>
    </row>
    <row r="192" spans="1:2" x14ac:dyDescent="0.45">
      <c r="A192" s="5">
        <v>3.4</v>
      </c>
      <c r="B192" s="5">
        <v>0.8905432525951551</v>
      </c>
    </row>
    <row r="193" spans="1:2" x14ac:dyDescent="0.45">
      <c r="A193" s="5">
        <v>3.41</v>
      </c>
      <c r="B193" s="5">
        <v>0.88309963794600987</v>
      </c>
    </row>
    <row r="194" spans="1:2" x14ac:dyDescent="0.45">
      <c r="A194" s="5">
        <v>3.42</v>
      </c>
      <c r="B194" s="5">
        <v>0.87568804076467943</v>
      </c>
    </row>
    <row r="195" spans="1:2" x14ac:dyDescent="0.45">
      <c r="A195" s="5">
        <v>3.43</v>
      </c>
      <c r="B195" s="5">
        <v>0.86830828141335648</v>
      </c>
    </row>
    <row r="196" spans="1:2" x14ac:dyDescent="0.45">
      <c r="A196" s="5">
        <v>3.44</v>
      </c>
      <c r="B196" s="5">
        <v>0.86096018117901529</v>
      </c>
    </row>
    <row r="197" spans="1:2" x14ac:dyDescent="0.45">
      <c r="A197" s="5">
        <v>3.45</v>
      </c>
      <c r="B197" s="5">
        <v>0.85364356227683258</v>
      </c>
    </row>
    <row r="198" spans="1:2" x14ac:dyDescent="0.45">
      <c r="A198" s="5">
        <v>3.46</v>
      </c>
      <c r="B198" s="5">
        <v>0.84635824785325253</v>
      </c>
    </row>
    <row r="199" spans="1:2" x14ac:dyDescent="0.45">
      <c r="A199" s="5">
        <v>3.47</v>
      </c>
      <c r="B199" s="5">
        <v>0.83910406198872156</v>
      </c>
    </row>
    <row r="200" spans="1:2" x14ac:dyDescent="0.45">
      <c r="A200" s="5">
        <v>3.48</v>
      </c>
      <c r="B200" s="5">
        <v>0.83188082970009214</v>
      </c>
    </row>
    <row r="201" spans="1:2" x14ac:dyDescent="0.45">
      <c r="A201" s="5">
        <v>3.49</v>
      </c>
      <c r="B201" s="5">
        <v>0.82468837694271757</v>
      </c>
    </row>
    <row r="202" spans="1:2" x14ac:dyDescent="0.45">
      <c r="A202" s="5">
        <v>3.5</v>
      </c>
      <c r="B202" s="5">
        <v>0.81752653061224434</v>
      </c>
    </row>
    <row r="203" spans="1:2" x14ac:dyDescent="0.45">
      <c r="A203" s="5">
        <v>3.51</v>
      </c>
      <c r="B203" s="5">
        <v>0.81039511854611535</v>
      </c>
    </row>
    <row r="204" spans="1:2" x14ac:dyDescent="0.45">
      <c r="A204" s="5">
        <v>3.52</v>
      </c>
      <c r="B204" s="5">
        <v>0.80329396952479337</v>
      </c>
    </row>
    <row r="205" spans="1:2" x14ac:dyDescent="0.45">
      <c r="A205" s="5">
        <v>3.53</v>
      </c>
      <c r="B205" s="5">
        <v>0.79622291327271677</v>
      </c>
    </row>
    <row r="206" spans="1:2" x14ac:dyDescent="0.45">
      <c r="A206" s="5">
        <v>3.54</v>
      </c>
      <c r="B206" s="5">
        <v>0.78918178045899934</v>
      </c>
    </row>
    <row r="207" spans="1:2" x14ac:dyDescent="0.45">
      <c r="A207" s="5">
        <v>3.55</v>
      </c>
      <c r="B207" s="5">
        <v>0.78217040269787708</v>
      </c>
    </row>
    <row r="208" spans="1:2" x14ac:dyDescent="0.45">
      <c r="A208" s="5">
        <v>3.56</v>
      </c>
      <c r="B208" s="5">
        <v>0.77518861254892046</v>
      </c>
    </row>
    <row r="209" spans="1:2" x14ac:dyDescent="0.45">
      <c r="A209" s="5">
        <v>3.57</v>
      </c>
      <c r="B209" s="5">
        <v>0.76823624351701447</v>
      </c>
    </row>
    <row r="210" spans="1:2" x14ac:dyDescent="0.45">
      <c r="A210" s="5">
        <v>3.58</v>
      </c>
      <c r="B210" s="5">
        <v>0.76131313005212009</v>
      </c>
    </row>
    <row r="211" spans="1:2" x14ac:dyDescent="0.45">
      <c r="A211" s="5">
        <v>3.59</v>
      </c>
      <c r="B211" s="5">
        <v>0.75441910754882402</v>
      </c>
    </row>
    <row r="212" spans="1:2" x14ac:dyDescent="0.45">
      <c r="A212" s="5">
        <v>3.6</v>
      </c>
      <c r="B212" s="5">
        <v>0.74755401234567875</v>
      </c>
    </row>
    <row r="213" spans="1:2" x14ac:dyDescent="0.45">
      <c r="A213" s="5">
        <v>3.61</v>
      </c>
      <c r="B213" s="5">
        <v>0.74071768172435704</v>
      </c>
    </row>
    <row r="214" spans="1:2" x14ac:dyDescent="0.45">
      <c r="A214" s="5">
        <v>3.62</v>
      </c>
      <c r="B214" s="5">
        <v>0.73390995390861047</v>
      </c>
    </row>
    <row r="215" spans="1:2" x14ac:dyDescent="0.45">
      <c r="A215" s="5">
        <v>3.63</v>
      </c>
      <c r="B215" s="5">
        <v>0.7271306680630496</v>
      </c>
    </row>
    <row r="216" spans="1:2" x14ac:dyDescent="0.45">
      <c r="A216" s="5">
        <v>3.64</v>
      </c>
      <c r="B216" s="5">
        <v>0.72037966429175215</v>
      </c>
    </row>
    <row r="217" spans="1:2" x14ac:dyDescent="0.45">
      <c r="A217" s="5">
        <v>3.65</v>
      </c>
      <c r="B217" s="5">
        <v>0.71365678363670426</v>
      </c>
    </row>
    <row r="218" spans="1:2" x14ac:dyDescent="0.45">
      <c r="A218" s="5">
        <v>3.66</v>
      </c>
      <c r="B218" s="5">
        <v>0.70696186807608452</v>
      </c>
    </row>
    <row r="219" spans="1:2" x14ac:dyDescent="0.45">
      <c r="A219" s="5">
        <v>3.67</v>
      </c>
      <c r="B219" s="5">
        <v>0.70029476052238859</v>
      </c>
    </row>
    <row r="220" spans="1:2" x14ac:dyDescent="0.45">
      <c r="A220" s="5">
        <v>3.68</v>
      </c>
      <c r="B220" s="5">
        <v>0.69365530482041526</v>
      </c>
    </row>
    <row r="221" spans="1:2" x14ac:dyDescent="0.45">
      <c r="A221" s="5">
        <v>3.69</v>
      </c>
      <c r="B221" s="5">
        <v>0.68704334574511039</v>
      </c>
    </row>
    <row r="222" spans="1:2" x14ac:dyDescent="0.45">
      <c r="A222" s="5">
        <v>3.7</v>
      </c>
      <c r="B222" s="5">
        <v>0.68045872899926918</v>
      </c>
    </row>
    <row r="223" spans="1:2" x14ac:dyDescent="0.45">
      <c r="A223" s="5">
        <v>3.71</v>
      </c>
      <c r="B223" s="5">
        <v>0.67390130121112124</v>
      </c>
    </row>
    <row r="224" spans="1:2" x14ac:dyDescent="0.45">
      <c r="A224" s="5">
        <v>3.72</v>
      </c>
      <c r="B224" s="5">
        <v>0.66737090993178372</v>
      </c>
    </row>
    <row r="225" spans="1:2" x14ac:dyDescent="0.45">
      <c r="A225" s="5">
        <v>3.73</v>
      </c>
      <c r="B225" s="5">
        <v>0.66086740363259944</v>
      </c>
    </row>
    <row r="226" spans="1:2" x14ac:dyDescent="0.45">
      <c r="A226" s="5">
        <v>3.74</v>
      </c>
      <c r="B226" s="5">
        <v>0.65439063170236489</v>
      </c>
    </row>
    <row r="227" spans="1:2" x14ac:dyDescent="0.45">
      <c r="A227" s="5">
        <v>3.75</v>
      </c>
      <c r="B227" s="5">
        <v>0.6479404444444441</v>
      </c>
    </row>
    <row r="228" spans="1:2" x14ac:dyDescent="0.45">
      <c r="A228" s="5">
        <v>3.76</v>
      </c>
      <c r="B228" s="5">
        <v>0.64151669307378878</v>
      </c>
    </row>
    <row r="229" spans="1:2" x14ac:dyDescent="0.45">
      <c r="A229" s="5">
        <v>3.77</v>
      </c>
      <c r="B229" s="5">
        <v>0.63511922971385149</v>
      </c>
    </row>
    <row r="230" spans="1:2" x14ac:dyDescent="0.45">
      <c r="A230" s="5">
        <v>3.78</v>
      </c>
      <c r="B230" s="5">
        <v>0.62874790739340947</v>
      </c>
    </row>
    <row r="231" spans="1:2" x14ac:dyDescent="0.45">
      <c r="A231" s="5">
        <v>3.79</v>
      </c>
      <c r="B231" s="5">
        <v>0.62240258004330196</v>
      </c>
    </row>
    <row r="232" spans="1:2" x14ac:dyDescent="0.45">
      <c r="A232" s="5">
        <v>3.8</v>
      </c>
      <c r="B232" s="5">
        <v>0.61608310249307419</v>
      </c>
    </row>
    <row r="233" spans="1:2" x14ac:dyDescent="0.45">
      <c r="A233" s="5">
        <v>3.81</v>
      </c>
      <c r="B233" s="5">
        <v>0.60978933046754946</v>
      </c>
    </row>
    <row r="234" spans="1:2" x14ac:dyDescent="0.45">
      <c r="A234" s="5">
        <v>3.82</v>
      </c>
      <c r="B234" s="5">
        <v>0.60352112058331686</v>
      </c>
    </row>
    <row r="235" spans="1:2" x14ac:dyDescent="0.45">
      <c r="A235" s="5">
        <v>3.83</v>
      </c>
      <c r="B235" s="5">
        <v>0.59727833034515188</v>
      </c>
    </row>
    <row r="236" spans="1:2" x14ac:dyDescent="0.45">
      <c r="A236" s="5">
        <v>3.84</v>
      </c>
      <c r="B236" s="5">
        <v>0.59106081814236111</v>
      </c>
    </row>
    <row r="237" spans="1:2" x14ac:dyDescent="0.45">
      <c r="A237" s="5">
        <v>3.85</v>
      </c>
      <c r="B237" s="5">
        <v>0.58486844324506615</v>
      </c>
    </row>
    <row r="238" spans="1:2" x14ac:dyDescent="0.45">
      <c r="A238" s="5">
        <v>3.86</v>
      </c>
      <c r="B238" s="5">
        <v>0.57870106580042391</v>
      </c>
    </row>
    <row r="239" spans="1:2" x14ac:dyDescent="0.45">
      <c r="A239" s="5">
        <v>3.87</v>
      </c>
      <c r="B239" s="5">
        <v>0.5725585468287826</v>
      </c>
    </row>
    <row r="240" spans="1:2" x14ac:dyDescent="0.45">
      <c r="A240" s="5">
        <v>3.88</v>
      </c>
      <c r="B240" s="5">
        <v>0.56644074821978974</v>
      </c>
    </row>
    <row r="241" spans="1:2" x14ac:dyDescent="0.45">
      <c r="A241" s="5">
        <v>3.89</v>
      </c>
      <c r="B241" s="5">
        <v>0.56034753272843796</v>
      </c>
    </row>
    <row r="242" spans="1:2" x14ac:dyDescent="0.45">
      <c r="A242" s="5">
        <v>3.9</v>
      </c>
      <c r="B242" s="5">
        <v>0.55427876397107134</v>
      </c>
    </row>
    <row r="243" spans="1:2" x14ac:dyDescent="0.45">
      <c r="A243" s="5">
        <v>3.91</v>
      </c>
      <c r="B243" s="5">
        <v>0.54823430642133397</v>
      </c>
    </row>
    <row r="244" spans="1:2" x14ac:dyDescent="0.45">
      <c r="A244" s="5">
        <v>3.92</v>
      </c>
      <c r="B244" s="5">
        <v>0.54221402540608077</v>
      </c>
    </row>
    <row r="245" spans="1:2" x14ac:dyDescent="0.45">
      <c r="A245" s="5">
        <v>3.93</v>
      </c>
      <c r="B245" s="5">
        <v>0.53621778710124302</v>
      </c>
    </row>
    <row r="246" spans="1:2" x14ac:dyDescent="0.45">
      <c r="A246" s="5">
        <v>3.94</v>
      </c>
      <c r="B246" s="5">
        <v>0.53024545852766058</v>
      </c>
    </row>
    <row r="247" spans="1:2" x14ac:dyDescent="0.45">
      <c r="A247" s="5">
        <v>3.95</v>
      </c>
      <c r="B247" s="5">
        <v>0.52429690754686709</v>
      </c>
    </row>
    <row r="248" spans="1:2" x14ac:dyDescent="0.45">
      <c r="A248" s="5">
        <v>3.96</v>
      </c>
      <c r="B248" s="5">
        <v>0.51837200285685103</v>
      </c>
    </row>
    <row r="249" spans="1:2" x14ac:dyDescent="0.45">
      <c r="A249" s="5">
        <v>3.97</v>
      </c>
      <c r="B249" s="5">
        <v>0.51247061398777927</v>
      </c>
    </row>
    <row r="250" spans="1:2" x14ac:dyDescent="0.45">
      <c r="A250" s="5">
        <v>3.98</v>
      </c>
      <c r="B250" s="5">
        <v>0.50659261129769462</v>
      </c>
    </row>
    <row r="251" spans="1:2" x14ac:dyDescent="0.45">
      <c r="A251" s="5">
        <v>3.99</v>
      </c>
      <c r="B251" s="5">
        <v>0.50073786596817804</v>
      </c>
    </row>
    <row r="252" spans="1:2" x14ac:dyDescent="0.45">
      <c r="A252" s="5">
        <v>4</v>
      </c>
      <c r="B252" s="5">
        <v>0.49490624999999971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2"/>
  <sheetViews>
    <sheetView workbookViewId="0"/>
  </sheetViews>
  <sheetFormatPr defaultRowHeight="14.25" x14ac:dyDescent="0.45"/>
  <cols>
    <col min="1" max="2" width="16.73046875" customWidth="1"/>
  </cols>
  <sheetData>
    <row r="1" spans="1:2" x14ac:dyDescent="0.45">
      <c r="A1" s="4" t="s">
        <v>35</v>
      </c>
      <c r="B1" s="4" t="s">
        <v>36</v>
      </c>
    </row>
    <row r="2" spans="1:2" x14ac:dyDescent="0.45">
      <c r="A2" s="5">
        <v>3</v>
      </c>
      <c r="B2" s="5">
        <v>3.2976971995909832</v>
      </c>
    </row>
    <row r="3" spans="1:2" x14ac:dyDescent="0.45">
      <c r="A3" s="5">
        <v>3.02</v>
      </c>
      <c r="B3" s="5">
        <v>3.250661159569102</v>
      </c>
    </row>
    <row r="4" spans="1:2" x14ac:dyDescent="0.45">
      <c r="A4" s="5">
        <v>3.04</v>
      </c>
      <c r="B4" s="5">
        <v>3.204599872828485</v>
      </c>
    </row>
    <row r="5" spans="1:2" x14ac:dyDescent="0.45">
      <c r="A5" s="5">
        <v>3.06</v>
      </c>
      <c r="B5" s="5">
        <v>3.159486923941778</v>
      </c>
    </row>
    <row r="6" spans="1:2" x14ac:dyDescent="0.45">
      <c r="A6" s="5">
        <v>3.08</v>
      </c>
      <c r="B6" s="5">
        <v>3.115296779575226</v>
      </c>
    </row>
    <row r="7" spans="1:2" x14ac:dyDescent="0.45">
      <c r="A7" s="5">
        <v>3.1</v>
      </c>
      <c r="B7" s="5">
        <v>3.072004753552751</v>
      </c>
    </row>
    <row r="8" spans="1:2" x14ac:dyDescent="0.45">
      <c r="A8" s="5">
        <v>3.12</v>
      </c>
      <c r="B8" s="5">
        <v>3.0295869735179548</v>
      </c>
    </row>
    <row r="9" spans="1:2" x14ac:dyDescent="0.45">
      <c r="A9" s="5">
        <v>3.14</v>
      </c>
      <c r="B9" s="5">
        <v>2.9880203491112871</v>
      </c>
    </row>
    <row r="10" spans="1:2" x14ac:dyDescent="0.45">
      <c r="A10" s="5">
        <v>3.16</v>
      </c>
      <c r="B10" s="5">
        <v>2.947282541584396</v>
      </c>
    </row>
    <row r="11" spans="1:2" x14ac:dyDescent="0.45">
      <c r="A11" s="5">
        <v>3.18</v>
      </c>
      <c r="B11" s="5">
        <v>2.907351934778164</v>
      </c>
    </row>
    <row r="12" spans="1:2" x14ac:dyDescent="0.45">
      <c r="A12" s="5">
        <v>3.2</v>
      </c>
      <c r="B12" s="5">
        <v>2.868207607395111</v>
      </c>
    </row>
    <row r="13" spans="1:2" x14ac:dyDescent="0.45">
      <c r="A13" s="5">
        <v>3.22</v>
      </c>
      <c r="B13" s="5">
        <v>2.8298293065007738</v>
      </c>
    </row>
    <row r="14" spans="1:2" x14ac:dyDescent="0.45">
      <c r="A14" s="5">
        <v>3.24</v>
      </c>
      <c r="B14" s="5">
        <v>2.792197422192392</v>
      </c>
    </row>
    <row r="15" spans="1:2" x14ac:dyDescent="0.45">
      <c r="A15" s="5">
        <v>3.26</v>
      </c>
      <c r="B15" s="5">
        <v>2.7552929633766312</v>
      </c>
    </row>
    <row r="16" spans="1:2" x14ac:dyDescent="0.45">
      <c r="A16" s="5">
        <v>3.28</v>
      </c>
      <c r="B16" s="5">
        <v>2.7190975346013539</v>
      </c>
    </row>
    <row r="17" spans="1:2" x14ac:dyDescent="0.45">
      <c r="A17" s="5">
        <v>3.3</v>
      </c>
      <c r="B17" s="5">
        <v>2.6835933138894998</v>
      </c>
    </row>
    <row r="18" spans="1:2" x14ac:dyDescent="0.45">
      <c r="A18" s="5">
        <v>3.32</v>
      </c>
      <c r="B18" s="5">
        <v>2.6487630315259389</v>
      </c>
    </row>
    <row r="19" spans="1:2" x14ac:dyDescent="0.45">
      <c r="A19" s="5">
        <v>3.34</v>
      </c>
      <c r="B19" s="5">
        <v>2.6145899497509251</v>
      </c>
    </row>
    <row r="20" spans="1:2" x14ac:dyDescent="0.45">
      <c r="A20" s="5">
        <v>3.36</v>
      </c>
      <c r="B20" s="5">
        <v>2.5810578433162208</v>
      </c>
    </row>
    <row r="21" spans="1:2" x14ac:dyDescent="0.45">
      <c r="A21" s="5">
        <v>3.38</v>
      </c>
      <c r="B21" s="5">
        <v>2.548150980862403</v>
      </c>
    </row>
    <row r="22" spans="1:2" x14ac:dyDescent="0.45">
      <c r="A22" s="5">
        <v>3.4</v>
      </c>
      <c r="B22" s="5">
        <v>2.5158541070780451</v>
      </c>
    </row>
    <row r="23" spans="1:2" x14ac:dyDescent="0.45">
      <c r="A23" s="5">
        <v>3.42</v>
      </c>
      <c r="B23" s="5">
        <v>2.4841524256035679</v>
      </c>
    </row>
    <row r="24" spans="1:2" x14ac:dyDescent="0.45">
      <c r="A24" s="5">
        <v>3.44</v>
      </c>
      <c r="B24" s="5">
        <v>2.4530315826445861</v>
      </c>
    </row>
    <row r="25" spans="1:2" x14ac:dyDescent="0.45">
      <c r="A25" s="5">
        <v>3.46</v>
      </c>
      <c r="B25" s="5">
        <v>2.42247765126133</v>
      </c>
    </row>
    <row r="26" spans="1:2" x14ac:dyDescent="0.45">
      <c r="A26" s="5">
        <v>3.48</v>
      </c>
      <c r="B26" s="5">
        <v>2.392477116302592</v>
      </c>
    </row>
    <row r="27" spans="1:2" x14ac:dyDescent="0.45">
      <c r="A27" s="5">
        <v>3.5</v>
      </c>
      <c r="B27" s="5">
        <v>2.3630168599541972</v>
      </c>
    </row>
    <row r="28" spans="1:2" x14ac:dyDescent="0.45">
      <c r="A28" s="5">
        <v>3.52</v>
      </c>
      <c r="B28" s="5">
        <v>2.3340841478736132</v>
      </c>
    </row>
    <row r="29" spans="1:2" x14ac:dyDescent="0.45">
      <c r="A29" s="5">
        <v>3.54</v>
      </c>
      <c r="B29" s="5">
        <v>2.305666615883756</v>
      </c>
    </row>
    <row r="30" spans="1:2" x14ac:dyDescent="0.45">
      <c r="A30" s="5">
        <v>3.56</v>
      </c>
      <c r="B30" s="5">
        <v>2.2777522572004321</v>
      </c>
    </row>
    <row r="31" spans="1:2" x14ac:dyDescent="0.45">
      <c r="A31" s="5">
        <v>3.58</v>
      </c>
      <c r="B31" s="5">
        <v>2.250329410169162</v>
      </c>
    </row>
    <row r="32" spans="1:2" x14ac:dyDescent="0.45">
      <c r="A32" s="5">
        <v>3.6</v>
      </c>
      <c r="B32" s="5">
        <v>2.2233867464883712</v>
      </c>
    </row>
    <row r="33" spans="1:2" x14ac:dyDescent="0.45">
      <c r="A33" s="5">
        <v>3.62</v>
      </c>
      <c r="B33" s="5">
        <v>2.196913259897074</v>
      </c>
    </row>
    <row r="34" spans="1:2" x14ac:dyDescent="0.45">
      <c r="A34" s="5">
        <v>3.64</v>
      </c>
      <c r="B34" s="5">
        <v>2.1708982553063012</v>
      </c>
    </row>
    <row r="35" spans="1:2" x14ac:dyDescent="0.45">
      <c r="A35" s="5">
        <v>3.66</v>
      </c>
      <c r="B35" s="5">
        <v>2.1453313383545218</v>
      </c>
    </row>
    <row r="36" spans="1:2" x14ac:dyDescent="0.45">
      <c r="A36" s="5">
        <v>3.68</v>
      </c>
      <c r="B36" s="5">
        <v>2.1202024053683401</v>
      </c>
    </row>
    <row r="37" spans="1:2" x14ac:dyDescent="0.45">
      <c r="A37" s="5">
        <v>3.7</v>
      </c>
      <c r="B37" s="5">
        <v>2.095501633710612</v>
      </c>
    </row>
    <row r="38" spans="1:2" x14ac:dyDescent="0.45">
      <c r="A38" s="5">
        <v>3.72</v>
      </c>
      <c r="B38" s="5">
        <v>2.07121947249906</v>
      </c>
    </row>
    <row r="39" spans="1:2" x14ac:dyDescent="0.45">
      <c r="A39" s="5">
        <v>3.74</v>
      </c>
      <c r="B39" s="5">
        <v>2.0473466336792461</v>
      </c>
    </row>
    <row r="40" spans="1:2" x14ac:dyDescent="0.45">
      <c r="A40" s="5">
        <v>3.76</v>
      </c>
      <c r="B40" s="5">
        <v>2.0238740834365858</v>
      </c>
    </row>
    <row r="41" spans="1:2" x14ac:dyDescent="0.45">
      <c r="A41" s="5">
        <v>3.78</v>
      </c>
      <c r="B41" s="5">
        <v>2.0007930339327791</v>
      </c>
    </row>
    <row r="42" spans="1:2" x14ac:dyDescent="0.45">
      <c r="A42" s="5">
        <v>3.8</v>
      </c>
      <c r="B42" s="5">
        <v>1.9780949353527979</v>
      </c>
    </row>
    <row r="43" spans="1:2" x14ac:dyDescent="0.45">
      <c r="A43" s="5">
        <v>3.82</v>
      </c>
      <c r="B43" s="5">
        <v>1.955771468249172</v>
      </c>
    </row>
    <row r="44" spans="1:2" x14ac:dyDescent="0.45">
      <c r="A44" s="5">
        <v>3.84</v>
      </c>
      <c r="B44" s="5">
        <v>1.93381453617099</v>
      </c>
    </row>
    <row r="45" spans="1:2" x14ac:dyDescent="0.45">
      <c r="A45" s="5">
        <v>3.86</v>
      </c>
      <c r="B45" s="5">
        <v>1.9122162585655991</v>
      </c>
    </row>
    <row r="46" spans="1:2" x14ac:dyDescent="0.45">
      <c r="A46" s="5">
        <v>3.88</v>
      </c>
      <c r="B46" s="5">
        <v>1.8909689639415761</v>
      </c>
    </row>
    <row r="47" spans="1:2" x14ac:dyDescent="0.45">
      <c r="A47" s="5">
        <v>3.9</v>
      </c>
      <c r="B47" s="5">
        <v>1.8700651832820641</v>
      </c>
    </row>
    <row r="48" spans="1:2" x14ac:dyDescent="0.45">
      <c r="A48" s="5">
        <v>3.92</v>
      </c>
      <c r="B48" s="5">
        <v>1.8494976436980699</v>
      </c>
    </row>
    <row r="49" spans="1:2" x14ac:dyDescent="0.45">
      <c r="A49" s="5">
        <v>3.94</v>
      </c>
      <c r="B49" s="5">
        <v>1.829259262311822</v>
      </c>
    </row>
    <row r="50" spans="1:2" x14ac:dyDescent="0.45">
      <c r="A50" s="5">
        <v>3.96</v>
      </c>
      <c r="B50" s="5">
        <v>1.8093431403607261</v>
      </c>
    </row>
    <row r="51" spans="1:2" x14ac:dyDescent="0.45">
      <c r="A51" s="5">
        <v>3.98</v>
      </c>
      <c r="B51" s="5">
        <v>1.7897425575129009</v>
      </c>
    </row>
    <row r="52" spans="1:2" x14ac:dyDescent="0.45">
      <c r="A52" s="5">
        <v>4</v>
      </c>
      <c r="B52" s="5">
        <v>1.7704509663856851</v>
      </c>
    </row>
    <row r="53" spans="1:2" x14ac:dyDescent="0.45">
      <c r="A53" s="5">
        <v>4.0199999999999996</v>
      </c>
      <c r="B53" s="5">
        <v>1.7514619872588879</v>
      </c>
    </row>
    <row r="54" spans="1:2" x14ac:dyDescent="0.45">
      <c r="A54" s="5">
        <v>4.04</v>
      </c>
      <c r="B54" s="5">
        <v>1.732769402974949</v>
      </c>
    </row>
    <row r="55" spans="1:2" x14ac:dyDescent="0.45">
      <c r="A55" s="5">
        <v>4.0599999999999996</v>
      </c>
      <c r="B55" s="5">
        <v>1.714367154018515</v>
      </c>
    </row>
    <row r="56" spans="1:2" x14ac:dyDescent="0.45">
      <c r="A56" s="5">
        <v>4.08</v>
      </c>
      <c r="B56" s="5">
        <v>1.6962493337682589</v>
      </c>
    </row>
    <row r="57" spans="1:2" x14ac:dyDescent="0.45">
      <c r="A57" s="5">
        <v>4.0999999999999996</v>
      </c>
      <c r="B57" s="5">
        <v>1.678410183914119</v>
      </c>
    </row>
    <row r="58" spans="1:2" x14ac:dyDescent="0.45">
      <c r="A58" s="5">
        <v>4.12</v>
      </c>
      <c r="B58" s="5">
        <v>1.6608440900334189</v>
      </c>
    </row>
    <row r="59" spans="1:2" x14ac:dyDescent="0.45">
      <c r="A59" s="5">
        <v>4.1400000000000006</v>
      </c>
      <c r="B59" s="5">
        <v>1.6435455773196219</v>
      </c>
    </row>
    <row r="60" spans="1:2" x14ac:dyDescent="0.45">
      <c r="A60" s="5">
        <v>4.16</v>
      </c>
      <c r="B60" s="5">
        <v>1.6265093064577361</v>
      </c>
    </row>
    <row r="61" spans="1:2" x14ac:dyDescent="0.45">
      <c r="A61" s="5">
        <v>4.18</v>
      </c>
      <c r="B61" s="5">
        <v>1.6097300696406751</v>
      </c>
    </row>
    <row r="62" spans="1:2" x14ac:dyDescent="0.45">
      <c r="A62" s="5">
        <v>4.2</v>
      </c>
      <c r="B62" s="5">
        <v>1.593202786721102</v>
      </c>
    </row>
    <row r="63" spans="1:2" x14ac:dyDescent="0.45">
      <c r="A63" s="5">
        <v>4.22</v>
      </c>
      <c r="B63" s="5">
        <v>1.576922501493534</v>
      </c>
    </row>
    <row r="64" spans="1:2" x14ac:dyDescent="0.45">
      <c r="A64" s="5">
        <v>4.24</v>
      </c>
      <c r="B64" s="5">
        <v>1.560884378101701</v>
      </c>
    </row>
    <row r="65" spans="1:2" x14ac:dyDescent="0.45">
      <c r="A65" s="5">
        <v>4.26</v>
      </c>
      <c r="B65" s="5">
        <v>1.545083697566378</v>
      </c>
    </row>
    <row r="66" spans="1:2" x14ac:dyDescent="0.45">
      <c r="A66" s="5">
        <v>4.28</v>
      </c>
      <c r="B66" s="5">
        <v>1.529515854429103</v>
      </c>
    </row>
    <row r="67" spans="1:2" x14ac:dyDescent="0.45">
      <c r="A67" s="5">
        <v>4.3</v>
      </c>
      <c r="B67" s="5">
        <v>1.5141763535074</v>
      </c>
    </row>
    <row r="68" spans="1:2" x14ac:dyDescent="0.45">
      <c r="A68" s="5">
        <v>4.32</v>
      </c>
      <c r="B68" s="5">
        <v>1.4990608067572979</v>
      </c>
    </row>
    <row r="69" spans="1:2" x14ac:dyDescent="0.45">
      <c r="A69" s="5">
        <v>4.34</v>
      </c>
      <c r="B69" s="5">
        <v>1.4841649302391271</v>
      </c>
    </row>
    <row r="70" spans="1:2" x14ac:dyDescent="0.45">
      <c r="A70" s="5">
        <v>4.3600000000000003</v>
      </c>
      <c r="B70" s="5">
        <v>1.4694845411827271</v>
      </c>
    </row>
    <row r="71" spans="1:2" x14ac:dyDescent="0.45">
      <c r="A71" s="5">
        <v>4.38</v>
      </c>
      <c r="B71" s="5">
        <v>1.4550155551483841</v>
      </c>
    </row>
    <row r="72" spans="1:2" x14ac:dyDescent="0.45">
      <c r="A72" s="5">
        <v>4.4000000000000004</v>
      </c>
      <c r="B72" s="5">
        <v>1.440753983279945</v>
      </c>
    </row>
    <row r="73" spans="1:2" x14ac:dyDescent="0.45">
      <c r="A73" s="5">
        <v>4.42</v>
      </c>
      <c r="B73" s="5">
        <v>1.4266959296467181</v>
      </c>
    </row>
    <row r="74" spans="1:2" x14ac:dyDescent="0.45">
      <c r="A74" s="5">
        <v>4.4400000000000004</v>
      </c>
      <c r="B74" s="5">
        <v>1.4128375886708999</v>
      </c>
    </row>
    <row r="75" spans="1:2" x14ac:dyDescent="0.45">
      <c r="A75" s="5">
        <v>4.46</v>
      </c>
      <c r="B75" s="5">
        <v>1.3991752426374131</v>
      </c>
    </row>
    <row r="76" spans="1:2" x14ac:dyDescent="0.45">
      <c r="A76" s="5">
        <v>4.4800000000000004</v>
      </c>
      <c r="B76" s="5">
        <v>1.385705259283154</v>
      </c>
    </row>
    <row r="77" spans="1:2" x14ac:dyDescent="0.45">
      <c r="A77" s="5">
        <v>4.5</v>
      </c>
      <c r="B77" s="5">
        <v>1.3724240894627819</v>
      </c>
    </row>
    <row r="78" spans="1:2" x14ac:dyDescent="0.45">
      <c r="A78" s="5">
        <v>4.5199999999999996</v>
      </c>
      <c r="B78" s="5">
        <v>1.3593282648882841</v>
      </c>
    </row>
    <row r="79" spans="1:2" x14ac:dyDescent="0.45">
      <c r="A79" s="5">
        <v>4.54</v>
      </c>
      <c r="B79" s="5">
        <v>1.346414395939683</v>
      </c>
    </row>
    <row r="80" spans="1:2" x14ac:dyDescent="0.45">
      <c r="A80" s="5">
        <v>4.5599999999999996</v>
      </c>
      <c r="B80" s="5">
        <v>1.3336791695443351</v>
      </c>
    </row>
    <row r="81" spans="1:2" x14ac:dyDescent="0.45">
      <c r="A81" s="5">
        <v>4.58</v>
      </c>
      <c r="B81" s="5">
        <v>1.3211193471223901</v>
      </c>
    </row>
    <row r="82" spans="1:2" x14ac:dyDescent="0.45">
      <c r="A82" s="5">
        <v>4.5999999999999996</v>
      </c>
      <c r="B82" s="5">
        <v>1.3087317625960599</v>
      </c>
    </row>
    <row r="83" spans="1:2" x14ac:dyDescent="0.45">
      <c r="A83" s="5">
        <v>4.62</v>
      </c>
      <c r="B83" s="5">
        <v>1.29651332046046</v>
      </c>
    </row>
    <row r="84" spans="1:2" x14ac:dyDescent="0.45">
      <c r="A84" s="5">
        <v>4.6400000000000006</v>
      </c>
      <c r="B84" s="5">
        <v>1.284460993913852</v>
      </c>
    </row>
    <row r="85" spans="1:2" x14ac:dyDescent="0.45">
      <c r="A85" s="5">
        <v>4.66</v>
      </c>
      <c r="B85" s="5">
        <v>1.272571823045215</v>
      </c>
    </row>
    <row r="86" spans="1:2" x14ac:dyDescent="0.45">
      <c r="A86" s="5">
        <v>4.68</v>
      </c>
      <c r="B86" s="5">
        <v>1.2608429130771599</v>
      </c>
    </row>
    <row r="87" spans="1:2" x14ac:dyDescent="0.45">
      <c r="A87" s="5">
        <v>4.7</v>
      </c>
      <c r="B87" s="5">
        <v>1.2492714326622469</v>
      </c>
    </row>
    <row r="88" spans="1:2" x14ac:dyDescent="0.45">
      <c r="A88" s="5">
        <v>4.72</v>
      </c>
      <c r="B88" s="5">
        <v>1.2378546122308971</v>
      </c>
    </row>
    <row r="89" spans="1:2" x14ac:dyDescent="0.45">
      <c r="A89" s="5">
        <v>4.74</v>
      </c>
      <c r="B89" s="5">
        <v>1.226589742389087</v>
      </c>
    </row>
    <row r="90" spans="1:2" x14ac:dyDescent="0.45">
      <c r="A90" s="5">
        <v>4.76</v>
      </c>
      <c r="B90" s="5">
        <v>1.215474172364164</v>
      </c>
    </row>
    <row r="91" spans="1:2" x14ac:dyDescent="0.45">
      <c r="A91" s="5">
        <v>4.78</v>
      </c>
      <c r="B91" s="5">
        <v>1.204505308497096</v>
      </c>
    </row>
    <row r="92" spans="1:2" x14ac:dyDescent="0.45">
      <c r="A92" s="5">
        <v>4.8</v>
      </c>
      <c r="B92" s="5">
        <v>1.193680612779638</v>
      </c>
    </row>
    <row r="93" spans="1:2" x14ac:dyDescent="0.45">
      <c r="A93" s="5">
        <v>4.82</v>
      </c>
      <c r="B93" s="5">
        <v>1.1829976014348329</v>
      </c>
    </row>
    <row r="94" spans="1:2" x14ac:dyDescent="0.45">
      <c r="A94" s="5">
        <v>4.84</v>
      </c>
      <c r="B94" s="5">
        <v>1.1724538435394489</v>
      </c>
    </row>
    <row r="95" spans="1:2" x14ac:dyDescent="0.45">
      <c r="A95" s="5">
        <v>4.8600000000000003</v>
      </c>
      <c r="B95" s="5">
        <v>1.162046959686905</v>
      </c>
    </row>
    <row r="96" spans="1:2" x14ac:dyDescent="0.45">
      <c r="A96" s="5">
        <v>4.88</v>
      </c>
      <c r="B96" s="5">
        <v>1.1517746206893571</v>
      </c>
    </row>
    <row r="97" spans="1:2" x14ac:dyDescent="0.45">
      <c r="A97" s="5">
        <v>4.9000000000000004</v>
      </c>
      <c r="B97" s="5">
        <v>1.1416345463176309</v>
      </c>
    </row>
    <row r="98" spans="1:2" x14ac:dyDescent="0.45">
      <c r="A98" s="5">
        <v>4.92</v>
      </c>
      <c r="B98" s="5">
        <v>1.1316245040777591</v>
      </c>
    </row>
    <row r="99" spans="1:2" x14ac:dyDescent="0.45">
      <c r="A99" s="5">
        <v>4.9400000000000004</v>
      </c>
      <c r="B99" s="5">
        <v>1.121742308022903</v>
      </c>
    </row>
    <row r="100" spans="1:2" x14ac:dyDescent="0.45">
      <c r="A100" s="5">
        <v>4.96</v>
      </c>
      <c r="B100" s="5">
        <v>1.111985817599515</v>
      </c>
    </row>
    <row r="101" spans="1:2" x14ac:dyDescent="0.45">
      <c r="A101" s="5">
        <v>4.9800000000000004</v>
      </c>
      <c r="B101" s="5">
        <v>1.1023529365266</v>
      </c>
    </row>
    <row r="102" spans="1:2" x14ac:dyDescent="0.45">
      <c r="A102" s="5">
        <v>5</v>
      </c>
      <c r="B102" s="5">
        <v>1.092841611707019</v>
      </c>
    </row>
    <row r="103" spans="1:2" x14ac:dyDescent="0.45">
      <c r="A103" s="5">
        <v>5.0199999999999996</v>
      </c>
      <c r="B103" s="5">
        <v>1.0834498321697801</v>
      </c>
    </row>
    <row r="104" spans="1:2" x14ac:dyDescent="0.45">
      <c r="A104" s="5">
        <v>5.04</v>
      </c>
      <c r="B104" s="5">
        <v>1.074175628042318</v>
      </c>
    </row>
    <row r="105" spans="1:2" x14ac:dyDescent="0.45">
      <c r="A105" s="5">
        <v>5.0599999999999996</v>
      </c>
      <c r="B105" s="5">
        <v>1.065017069551812</v>
      </c>
    </row>
    <row r="106" spans="1:2" x14ac:dyDescent="0.45">
      <c r="A106" s="5">
        <v>5.08</v>
      </c>
      <c r="B106" s="5">
        <v>1.055972266054588</v>
      </c>
    </row>
    <row r="107" spans="1:2" x14ac:dyDescent="0.45">
      <c r="A107" s="5">
        <v>5.0999999999999996</v>
      </c>
      <c r="B107" s="5">
        <v>1.047039365092721</v>
      </c>
    </row>
    <row r="108" spans="1:2" x14ac:dyDescent="0.45">
      <c r="A108" s="5">
        <v>5.12</v>
      </c>
      <c r="B108" s="5">
        <v>1.038216551476971</v>
      </c>
    </row>
    <row r="109" spans="1:2" x14ac:dyDescent="0.45">
      <c r="A109" s="5">
        <v>5.1400000000000006</v>
      </c>
      <c r="B109" s="5">
        <v>1.029502046395226</v>
      </c>
    </row>
    <row r="110" spans="1:2" x14ac:dyDescent="0.45">
      <c r="A110" s="5">
        <v>5.16</v>
      </c>
      <c r="B110" s="5">
        <v>1.0208941065456241</v>
      </c>
    </row>
    <row r="111" spans="1:2" x14ac:dyDescent="0.45">
      <c r="A111" s="5">
        <v>5.18</v>
      </c>
      <c r="B111" s="5">
        <v>1.012391023293604</v>
      </c>
    </row>
    <row r="112" spans="1:2" x14ac:dyDescent="0.45">
      <c r="A112" s="5">
        <v>5.2</v>
      </c>
      <c r="B112" s="5">
        <v>1.003991121852122</v>
      </c>
    </row>
    <row r="113" spans="1:2" x14ac:dyDescent="0.45">
      <c r="A113" s="5">
        <v>5.2200000000000006</v>
      </c>
      <c r="B113" s="5">
        <v>0.99569276048431055</v>
      </c>
    </row>
    <row r="114" spans="1:2" x14ac:dyDescent="0.45">
      <c r="A114" s="5">
        <v>5.24</v>
      </c>
      <c r="B114" s="5">
        <v>0.98749432972788687</v>
      </c>
    </row>
    <row r="115" spans="1:2" x14ac:dyDescent="0.45">
      <c r="A115" s="5">
        <v>5.26</v>
      </c>
      <c r="B115" s="5">
        <v>0.97939425164063731</v>
      </c>
    </row>
    <row r="116" spans="1:2" x14ac:dyDescent="0.45">
      <c r="A116" s="5">
        <v>5.28</v>
      </c>
      <c r="B116" s="5">
        <v>0.9713909790663231</v>
      </c>
    </row>
    <row r="117" spans="1:2" x14ac:dyDescent="0.45">
      <c r="A117" s="5">
        <v>5.3000000000000007</v>
      </c>
      <c r="B117" s="5">
        <v>0.9634829949203858</v>
      </c>
    </row>
    <row r="118" spans="1:2" x14ac:dyDescent="0.45">
      <c r="A118" s="5">
        <v>5.32</v>
      </c>
      <c r="B118" s="5">
        <v>0.95566881149483951</v>
      </c>
    </row>
    <row r="119" spans="1:2" x14ac:dyDescent="0.45">
      <c r="A119" s="5">
        <v>5.34</v>
      </c>
      <c r="B119" s="5">
        <v>0.94794696978176951</v>
      </c>
    </row>
    <row r="120" spans="1:2" x14ac:dyDescent="0.45">
      <c r="A120" s="5">
        <v>5.3599999999999994</v>
      </c>
      <c r="B120" s="5">
        <v>0.94031603881487247</v>
      </c>
    </row>
    <row r="121" spans="1:2" x14ac:dyDescent="0.45">
      <c r="A121" s="5">
        <v>5.38</v>
      </c>
      <c r="B121" s="5">
        <v>0.93277461502848646</v>
      </c>
    </row>
    <row r="122" spans="1:2" x14ac:dyDescent="0.45">
      <c r="A122" s="5">
        <v>5.4</v>
      </c>
      <c r="B122" s="5">
        <v>0.92532132163359071</v>
      </c>
    </row>
    <row r="123" spans="1:2" x14ac:dyDescent="0.45">
      <c r="A123" s="5">
        <v>5.42</v>
      </c>
      <c r="B123" s="5">
        <v>0.91795480801025808</v>
      </c>
    </row>
    <row r="124" spans="1:2" x14ac:dyDescent="0.45">
      <c r="A124" s="5">
        <v>5.44</v>
      </c>
      <c r="B124" s="5">
        <v>0.91067374911607124</v>
      </c>
    </row>
    <row r="125" spans="1:2" x14ac:dyDescent="0.45">
      <c r="A125" s="5">
        <v>5.46</v>
      </c>
      <c r="B125" s="5">
        <v>0.90347684491002689</v>
      </c>
    </row>
    <row r="126" spans="1:2" x14ac:dyDescent="0.45">
      <c r="A126" s="5">
        <v>5.48</v>
      </c>
      <c r="B126" s="5">
        <v>0.89636281979146648</v>
      </c>
    </row>
    <row r="127" spans="1:2" x14ac:dyDescent="0.45">
      <c r="A127" s="5">
        <v>5.5</v>
      </c>
      <c r="B127" s="5">
        <v>0.88933042205358737</v>
      </c>
    </row>
    <row r="128" spans="1:2" x14ac:dyDescent="0.45">
      <c r="A128" s="5">
        <v>5.52</v>
      </c>
      <c r="B128" s="5">
        <v>0.88237842335110472</v>
      </c>
    </row>
    <row r="129" spans="1:2" x14ac:dyDescent="0.45">
      <c r="A129" s="5">
        <v>5.54</v>
      </c>
      <c r="B129" s="5">
        <v>0.87550561818165062</v>
      </c>
    </row>
    <row r="130" spans="1:2" x14ac:dyDescent="0.45">
      <c r="A130" s="5">
        <v>5.56</v>
      </c>
      <c r="B130" s="5">
        <v>0.86871082338050409</v>
      </c>
    </row>
    <row r="131" spans="1:2" x14ac:dyDescent="0.45">
      <c r="A131" s="5">
        <v>5.58</v>
      </c>
      <c r="B131" s="5">
        <v>0.86199287762826604</v>
      </c>
    </row>
    <row r="132" spans="1:2" x14ac:dyDescent="0.45">
      <c r="A132" s="5">
        <v>5.6</v>
      </c>
      <c r="B132" s="5">
        <v>0.85535064097109792</v>
      </c>
    </row>
    <row r="133" spans="1:2" x14ac:dyDescent="0.45">
      <c r="A133" s="5">
        <v>5.62</v>
      </c>
      <c r="B133" s="5">
        <v>0.84878299435316751</v>
      </c>
    </row>
    <row r="134" spans="1:2" x14ac:dyDescent="0.45">
      <c r="A134" s="5">
        <v>5.6400000000000006</v>
      </c>
      <c r="B134" s="5">
        <v>0.84228883916094199</v>
      </c>
    </row>
    <row r="135" spans="1:2" x14ac:dyDescent="0.45">
      <c r="A135" s="5">
        <v>5.66</v>
      </c>
      <c r="B135" s="5">
        <v>0.83586709677899096</v>
      </c>
    </row>
    <row r="136" spans="1:2" x14ac:dyDescent="0.45">
      <c r="A136" s="5">
        <v>5.68</v>
      </c>
      <c r="B136" s="5">
        <v>0.82951670815696754</v>
      </c>
    </row>
    <row r="137" spans="1:2" x14ac:dyDescent="0.45">
      <c r="A137" s="5">
        <v>5.7</v>
      </c>
      <c r="B137" s="5">
        <v>0.82323663338745057</v>
      </c>
    </row>
    <row r="138" spans="1:2" x14ac:dyDescent="0.45">
      <c r="A138" s="5">
        <v>5.7200000000000006</v>
      </c>
      <c r="B138" s="5">
        <v>0.81702585129433691</v>
      </c>
    </row>
    <row r="139" spans="1:2" x14ac:dyDescent="0.45">
      <c r="A139" s="5">
        <v>5.74</v>
      </c>
      <c r="B139" s="5">
        <v>0.81088335903148279</v>
      </c>
    </row>
    <row r="140" spans="1:2" x14ac:dyDescent="0.45">
      <c r="A140" s="5">
        <v>5.76</v>
      </c>
      <c r="B140" s="5">
        <v>0.80480817169130769</v>
      </c>
    </row>
    <row r="141" spans="1:2" x14ac:dyDescent="0.45">
      <c r="A141" s="5">
        <v>5.78</v>
      </c>
      <c r="B141" s="5">
        <v>0.79879932192307768</v>
      </c>
    </row>
    <row r="142" spans="1:2" x14ac:dyDescent="0.45">
      <c r="A142" s="5">
        <v>5.8000000000000007</v>
      </c>
      <c r="B142" s="5">
        <v>0.79285585956059801</v>
      </c>
    </row>
    <row r="143" spans="1:2" x14ac:dyDescent="0.45">
      <c r="A143" s="5">
        <v>5.82</v>
      </c>
      <c r="B143" s="5">
        <v>0.78697685125904959</v>
      </c>
    </row>
    <row r="144" spans="1:2" x14ac:dyDescent="0.45">
      <c r="A144" s="5">
        <v>5.84</v>
      </c>
      <c r="B144" s="5">
        <v>0.78116138014071423</v>
      </c>
    </row>
    <row r="145" spans="1:2" x14ac:dyDescent="0.45">
      <c r="A145" s="5">
        <v>5.8599999999999994</v>
      </c>
      <c r="B145" s="5">
        <v>0.77540854544934512</v>
      </c>
    </row>
    <row r="146" spans="1:2" x14ac:dyDescent="0.45">
      <c r="A146" s="5">
        <v>5.88</v>
      </c>
      <c r="B146" s="5">
        <v>0.76971746221293824</v>
      </c>
    </row>
    <row r="147" spans="1:2" x14ac:dyDescent="0.45">
      <c r="A147" s="5">
        <v>5.9</v>
      </c>
      <c r="B147" s="5">
        <v>0.76408726091467638</v>
      </c>
    </row>
    <row r="148" spans="1:2" x14ac:dyDescent="0.45">
      <c r="A148" s="5">
        <v>5.92</v>
      </c>
      <c r="B148" s="5">
        <v>0.75851708717181865</v>
      </c>
    </row>
    <row r="149" spans="1:2" x14ac:dyDescent="0.45">
      <c r="A149" s="5">
        <v>5.94</v>
      </c>
      <c r="B149" s="5">
        <v>0.7530061014223175</v>
      </c>
    </row>
    <row r="150" spans="1:2" x14ac:dyDescent="0.45">
      <c r="A150" s="5">
        <v>5.96</v>
      </c>
      <c r="B150" s="5">
        <v>0.74755347861895438</v>
      </c>
    </row>
    <row r="151" spans="1:2" x14ac:dyDescent="0.45">
      <c r="A151" s="5">
        <v>5.98</v>
      </c>
      <c r="B151" s="5">
        <v>0.74215840793078713</v>
      </c>
    </row>
    <row r="152" spans="1:2" x14ac:dyDescent="0.45">
      <c r="A152" s="5">
        <v>6</v>
      </c>
      <c r="B152" s="5">
        <v>0.7368200924517111</v>
      </c>
    </row>
    <row r="153" spans="1:2" x14ac:dyDescent="0.45">
      <c r="A153" s="5">
        <v>6.02</v>
      </c>
      <c r="B153" s="5">
        <v>0.7315377489159397</v>
      </c>
    </row>
    <row r="154" spans="1:2" x14ac:dyDescent="0.45">
      <c r="A154" s="5">
        <v>6.04</v>
      </c>
      <c r="B154" s="5">
        <v>0.72631060742022202</v>
      </c>
    </row>
    <row r="155" spans="1:2" x14ac:dyDescent="0.45">
      <c r="A155" s="5">
        <v>6.06</v>
      </c>
      <c r="B155" s="5">
        <v>0.72113791115261305</v>
      </c>
    </row>
    <row r="156" spans="1:2" x14ac:dyDescent="0.45">
      <c r="A156" s="5">
        <v>6.08</v>
      </c>
      <c r="B156" s="5">
        <v>0.71601891612762081</v>
      </c>
    </row>
    <row r="157" spans="1:2" x14ac:dyDescent="0.45">
      <c r="A157" s="5">
        <v>6.1</v>
      </c>
      <c r="B157" s="5">
        <v>0.71095289092756142</v>
      </c>
    </row>
    <row r="158" spans="1:2" x14ac:dyDescent="0.45">
      <c r="A158" s="5">
        <v>6.12</v>
      </c>
      <c r="B158" s="5">
        <v>0.70593911644995622</v>
      </c>
    </row>
    <row r="159" spans="1:2" x14ac:dyDescent="0.45">
      <c r="A159" s="5">
        <v>6.1400000000000006</v>
      </c>
      <c r="B159" s="5">
        <v>0.70097688566081162</v>
      </c>
    </row>
    <row r="160" spans="1:2" x14ac:dyDescent="0.45">
      <c r="A160" s="5">
        <v>6.16</v>
      </c>
      <c r="B160" s="5">
        <v>0.69606550335362471</v>
      </c>
    </row>
    <row r="161" spans="1:2" x14ac:dyDescent="0.45">
      <c r="A161" s="5">
        <v>6.18</v>
      </c>
      <c r="B161" s="5">
        <v>0.69120428591396232</v>
      </c>
    </row>
    <row r="162" spans="1:2" x14ac:dyDescent="0.45">
      <c r="A162" s="5">
        <v>6.2</v>
      </c>
      <c r="B162" s="5">
        <v>0.68639256108947211</v>
      </c>
    </row>
    <row r="163" spans="1:2" x14ac:dyDescent="0.45">
      <c r="A163" s="5">
        <v>6.2200000000000006</v>
      </c>
      <c r="B163" s="5">
        <v>0.68162966776517819</v>
      </c>
    </row>
    <row r="164" spans="1:2" x14ac:dyDescent="0.45">
      <c r="A164" s="5">
        <v>6.24</v>
      </c>
      <c r="B164" s="5">
        <v>0.67691495574392635</v>
      </c>
    </row>
    <row r="165" spans="1:2" x14ac:dyDescent="0.45">
      <c r="A165" s="5">
        <v>6.26</v>
      </c>
      <c r="B165" s="5">
        <v>0.67224778553184139</v>
      </c>
    </row>
    <row r="166" spans="1:2" x14ac:dyDescent="0.45">
      <c r="A166" s="5">
        <v>6.28</v>
      </c>
      <c r="B166" s="5">
        <v>0.66762752812867232</v>
      </c>
    </row>
    <row r="167" spans="1:2" x14ac:dyDescent="0.45">
      <c r="A167" s="5">
        <v>6.3000000000000007</v>
      </c>
      <c r="B167" s="5">
        <v>0.66305356482289368</v>
      </c>
    </row>
    <row r="168" spans="1:2" x14ac:dyDescent="0.45">
      <c r="A168" s="5">
        <v>6.32</v>
      </c>
      <c r="B168" s="5">
        <v>0.65852528699144253</v>
      </c>
    </row>
    <row r="169" spans="1:2" x14ac:dyDescent="0.45">
      <c r="A169" s="5">
        <v>6.34</v>
      </c>
      <c r="B169" s="5">
        <v>0.65404209590397133</v>
      </c>
    </row>
    <row r="170" spans="1:2" x14ac:dyDescent="0.45">
      <c r="A170" s="5">
        <v>6.3599999999999994</v>
      </c>
      <c r="B170" s="5">
        <v>0.64960340253150217</v>
      </c>
    </row>
    <row r="171" spans="1:2" x14ac:dyDescent="0.45">
      <c r="A171" s="5">
        <v>6.38</v>
      </c>
      <c r="B171" s="5">
        <v>0.64520862735936901</v>
      </c>
    </row>
    <row r="172" spans="1:2" x14ac:dyDescent="0.45">
      <c r="A172" s="5">
        <v>6.4</v>
      </c>
      <c r="B172" s="5">
        <v>0.64085720020433901</v>
      </c>
    </row>
    <row r="173" spans="1:2" x14ac:dyDescent="0.45">
      <c r="A173" s="5">
        <v>6.42</v>
      </c>
      <c r="B173" s="5">
        <v>0.63654856003580629</v>
      </c>
    </row>
    <row r="174" spans="1:2" x14ac:dyDescent="0.45">
      <c r="A174" s="5">
        <v>6.44</v>
      </c>
      <c r="B174" s="5">
        <v>0.63228215480095518</v>
      </c>
    </row>
    <row r="175" spans="1:2" x14ac:dyDescent="0.45">
      <c r="A175" s="5">
        <v>6.46</v>
      </c>
      <c r="B175" s="5">
        <v>0.6280574412537957</v>
      </c>
    </row>
    <row r="176" spans="1:2" x14ac:dyDescent="0.45">
      <c r="A176" s="5">
        <v>6.48</v>
      </c>
      <c r="B176" s="5">
        <v>0.62387388478796757</v>
      </c>
    </row>
    <row r="177" spans="1:2" x14ac:dyDescent="0.45">
      <c r="A177" s="5">
        <v>6.5</v>
      </c>
      <c r="B177" s="5">
        <v>0.61973095927322663</v>
      </c>
    </row>
    <row r="178" spans="1:2" x14ac:dyDescent="0.45">
      <c r="A178" s="5">
        <v>6.52</v>
      </c>
      <c r="B178" s="5">
        <v>0.61562814689551271</v>
      </c>
    </row>
    <row r="179" spans="1:2" x14ac:dyDescent="0.45">
      <c r="A179" s="5">
        <v>6.54</v>
      </c>
      <c r="B179" s="5">
        <v>0.61156493800051703</v>
      </c>
    </row>
    <row r="180" spans="1:2" x14ac:dyDescent="0.45">
      <c r="A180" s="5">
        <v>6.56</v>
      </c>
      <c r="B180" s="5">
        <v>0.6075408309406588</v>
      </c>
    </row>
    <row r="181" spans="1:2" x14ac:dyDescent="0.45">
      <c r="A181" s="5">
        <v>6.58</v>
      </c>
      <c r="B181" s="5">
        <v>0.60355533192538702</v>
      </c>
    </row>
    <row r="182" spans="1:2" x14ac:dyDescent="0.45">
      <c r="A182" s="5">
        <v>6.6</v>
      </c>
      <c r="B182" s="5">
        <v>0.5996079548747244</v>
      </c>
    </row>
    <row r="183" spans="1:2" x14ac:dyDescent="0.45">
      <c r="A183" s="5">
        <v>6.62</v>
      </c>
      <c r="B183" s="5">
        <v>0.59569822127597627</v>
      </c>
    </row>
    <row r="184" spans="1:2" x14ac:dyDescent="0.45">
      <c r="A184" s="5">
        <v>6.6400000000000006</v>
      </c>
      <c r="B184" s="5">
        <v>0.59182566004352488</v>
      </c>
    </row>
    <row r="185" spans="1:2" x14ac:dyDescent="0.45">
      <c r="A185" s="5">
        <v>6.66</v>
      </c>
      <c r="B185" s="5">
        <v>0.58798980738163276</v>
      </c>
    </row>
    <row r="186" spans="1:2" x14ac:dyDescent="0.45">
      <c r="A186" s="5">
        <v>6.68</v>
      </c>
      <c r="B186" s="5">
        <v>0.58419020665018462</v>
      </c>
    </row>
    <row r="187" spans="1:2" x14ac:dyDescent="0.45">
      <c r="A187" s="5">
        <v>6.7</v>
      </c>
      <c r="B187" s="5">
        <v>0.5804264082332925</v>
      </c>
    </row>
    <row r="188" spans="1:2" x14ac:dyDescent="0.45">
      <c r="A188" s="5">
        <v>6.7200000000000006</v>
      </c>
      <c r="B188" s="5">
        <v>0.57669796941069984</v>
      </c>
    </row>
    <row r="189" spans="1:2" x14ac:dyDescent="0.45">
      <c r="A189" s="5">
        <v>6.74</v>
      </c>
      <c r="B189" s="5">
        <v>0.57300445423191071</v>
      </c>
    </row>
    <row r="190" spans="1:2" x14ac:dyDescent="0.45">
      <c r="A190" s="5">
        <v>6.76</v>
      </c>
      <c r="B190" s="5">
        <v>0.56934543339298305</v>
      </c>
    </row>
    <row r="191" spans="1:2" x14ac:dyDescent="0.45">
      <c r="A191" s="5">
        <v>6.78</v>
      </c>
      <c r="B191" s="5">
        <v>0.56572048411592069</v>
      </c>
    </row>
    <row r="192" spans="1:2" x14ac:dyDescent="0.45">
      <c r="A192" s="5">
        <v>6.8000000000000007</v>
      </c>
      <c r="B192" s="5">
        <v>0.56212919003060136</v>
      </c>
    </row>
    <row r="193" spans="1:2" x14ac:dyDescent="0.45">
      <c r="A193" s="5">
        <v>6.82</v>
      </c>
      <c r="B193" s="5">
        <v>0.55857114105917971</v>
      </c>
    </row>
    <row r="194" spans="1:2" x14ac:dyDescent="0.45">
      <c r="A194" s="5">
        <v>6.84</v>
      </c>
      <c r="B194" s="5">
        <v>0.55504593330290808</v>
      </c>
    </row>
    <row r="195" spans="1:2" x14ac:dyDescent="0.45">
      <c r="A195" s="5">
        <v>6.8599999999999994</v>
      </c>
      <c r="B195" s="5">
        <v>0.55155316893131534</v>
      </c>
    </row>
    <row r="196" spans="1:2" x14ac:dyDescent="0.45">
      <c r="A196" s="5">
        <v>6.88</v>
      </c>
      <c r="B196" s="5">
        <v>0.54809245607368984</v>
      </c>
    </row>
    <row r="197" spans="1:2" x14ac:dyDescent="0.45">
      <c r="A197" s="5">
        <v>6.9</v>
      </c>
      <c r="B197" s="5">
        <v>0.54466340871281216</v>
      </c>
    </row>
    <row r="198" spans="1:2" x14ac:dyDescent="0.45">
      <c r="A198" s="5">
        <v>6.92</v>
      </c>
      <c r="B198" s="5">
        <v>0.54126564658088194</v>
      </c>
    </row>
    <row r="199" spans="1:2" x14ac:dyDescent="0.45">
      <c r="A199" s="5">
        <v>6.94</v>
      </c>
      <c r="B199" s="5">
        <v>0.5378987950575902</v>
      </c>
    </row>
    <row r="200" spans="1:2" x14ac:dyDescent="0.45">
      <c r="A200" s="5">
        <v>6.96</v>
      </c>
      <c r="B200" s="5">
        <v>0.53456248507028603</v>
      </c>
    </row>
    <row r="201" spans="1:2" x14ac:dyDescent="0.45">
      <c r="A201" s="5">
        <v>6.98</v>
      </c>
      <c r="B201" s="5">
        <v>0.53125635299618901</v>
      </c>
    </row>
    <row r="202" spans="1:2" x14ac:dyDescent="0.45">
      <c r="A202" s="5">
        <v>7</v>
      </c>
      <c r="B202" s="5">
        <v>0.52798004056659786</v>
      </c>
    </row>
    <row r="203" spans="1:2" x14ac:dyDescent="0.45">
      <c r="A203" s="5">
        <v>7.02</v>
      </c>
      <c r="B203" s="5">
        <v>0.52473319477305169</v>
      </c>
    </row>
    <row r="204" spans="1:2" x14ac:dyDescent="0.45">
      <c r="A204" s="5">
        <v>7.04</v>
      </c>
      <c r="B204" s="5">
        <v>0.52151546777539726</v>
      </c>
    </row>
    <row r="205" spans="1:2" x14ac:dyDescent="0.45">
      <c r="A205" s="5">
        <v>7.06</v>
      </c>
      <c r="B205" s="5">
        <v>0.5183265168117176</v>
      </c>
    </row>
    <row r="206" spans="1:2" x14ac:dyDescent="0.45">
      <c r="A206" s="5">
        <v>7.08</v>
      </c>
      <c r="B206" s="5">
        <v>0.51516600411008173</v>
      </c>
    </row>
    <row r="207" spans="1:2" x14ac:dyDescent="0.45">
      <c r="A207" s="5">
        <v>7.1</v>
      </c>
      <c r="B207" s="5">
        <v>0.51203359680206906</v>
      </c>
    </row>
    <row r="208" spans="1:2" x14ac:dyDescent="0.45">
      <c r="A208" s="5">
        <v>7.12</v>
      </c>
      <c r="B208" s="5">
        <v>0.50892896683803368</v>
      </c>
    </row>
    <row r="209" spans="1:2" x14ac:dyDescent="0.45">
      <c r="A209" s="5">
        <v>7.14</v>
      </c>
      <c r="B209" s="5">
        <v>0.50585179090406418</v>
      </c>
    </row>
    <row r="210" spans="1:2" x14ac:dyDescent="0.45">
      <c r="A210" s="5">
        <v>7.16</v>
      </c>
      <c r="B210" s="5">
        <v>0.50280175034060148</v>
      </c>
    </row>
    <row r="211" spans="1:2" x14ac:dyDescent="0.45">
      <c r="A211" s="5">
        <v>7.18</v>
      </c>
      <c r="B211" s="5">
        <v>0.49977853106268022</v>
      </c>
    </row>
    <row r="212" spans="1:2" x14ac:dyDescent="0.45">
      <c r="A212" s="5">
        <v>7.2</v>
      </c>
      <c r="B212" s="5">
        <v>0.49678182348175037</v>
      </c>
    </row>
    <row r="213" spans="1:2" x14ac:dyDescent="0.45">
      <c r="A213" s="5">
        <v>7.22</v>
      </c>
      <c r="B213" s="5">
        <v>0.4938113224290519</v>
      </c>
    </row>
    <row r="214" spans="1:2" x14ac:dyDescent="0.45">
      <c r="A214" s="5">
        <v>7.24</v>
      </c>
      <c r="B214" s="5">
        <v>0.49086672708049878</v>
      </c>
    </row>
    <row r="215" spans="1:2" x14ac:dyDescent="0.45">
      <c r="A215" s="5">
        <v>7.26</v>
      </c>
      <c r="B215" s="5">
        <v>0.48794774088304599</v>
      </c>
    </row>
    <row r="216" spans="1:2" x14ac:dyDescent="0.45">
      <c r="A216" s="5">
        <v>7.28</v>
      </c>
      <c r="B216" s="5">
        <v>0.48505407148250063</v>
      </c>
    </row>
    <row r="217" spans="1:2" x14ac:dyDescent="0.45">
      <c r="A217" s="5">
        <v>7.3</v>
      </c>
      <c r="B217" s="5">
        <v>0.48218543065274921</v>
      </c>
    </row>
    <row r="218" spans="1:2" x14ac:dyDescent="0.45">
      <c r="A218" s="5">
        <v>7.32</v>
      </c>
      <c r="B218" s="5">
        <v>0.47934153422636577</v>
      </c>
    </row>
    <row r="219" spans="1:2" x14ac:dyDescent="0.45">
      <c r="A219" s="5">
        <v>7.34</v>
      </c>
      <c r="B219" s="5">
        <v>0.47652210202657402</v>
      </c>
    </row>
    <row r="220" spans="1:2" x14ac:dyDescent="0.45">
      <c r="A220" s="5">
        <v>7.36</v>
      </c>
      <c r="B220" s="5">
        <v>0.47372685780052909</v>
      </c>
    </row>
    <row r="221" spans="1:2" x14ac:dyDescent="0.45">
      <c r="A221" s="5">
        <v>7.38</v>
      </c>
      <c r="B221" s="5">
        <v>0.47095552915389538</v>
      </c>
    </row>
    <row r="222" spans="1:2" x14ac:dyDescent="0.45">
      <c r="A222" s="5">
        <v>7.4</v>
      </c>
      <c r="B222" s="5">
        <v>0.46820784748668548</v>
      </c>
    </row>
    <row r="223" spans="1:2" x14ac:dyDescent="0.45">
      <c r="A223" s="5">
        <v>7.42</v>
      </c>
      <c r="B223" s="5">
        <v>0.46548354793033853</v>
      </c>
    </row>
    <row r="224" spans="1:2" x14ac:dyDescent="0.45">
      <c r="A224" s="5">
        <v>7.44</v>
      </c>
      <c r="B224" s="5">
        <v>0.46278236928600569</v>
      </c>
    </row>
    <row r="225" spans="1:2" x14ac:dyDescent="0.45">
      <c r="A225" s="5">
        <v>7.46</v>
      </c>
      <c r="B225" s="5">
        <v>0.46010405396402149</v>
      </c>
    </row>
    <row r="226" spans="1:2" x14ac:dyDescent="0.45">
      <c r="A226" s="5">
        <v>7.48</v>
      </c>
      <c r="B226" s="5">
        <v>0.45744834792452921</v>
      </c>
    </row>
    <row r="227" spans="1:2" x14ac:dyDescent="0.45">
      <c r="A227" s="5">
        <v>7.5</v>
      </c>
      <c r="B227" s="5">
        <v>0.45481500061924202</v>
      </c>
    </row>
    <row r="228" spans="1:2" x14ac:dyDescent="0.45">
      <c r="A228" s="5">
        <v>7.52</v>
      </c>
      <c r="B228" s="5">
        <v>0.45220376493430808</v>
      </c>
    </row>
    <row r="229" spans="1:2" x14ac:dyDescent="0.45">
      <c r="A229" s="5">
        <v>7.54</v>
      </c>
      <c r="B229" s="5">
        <v>0.44961439713426338</v>
      </c>
    </row>
    <row r="230" spans="1:2" x14ac:dyDescent="0.45">
      <c r="A230" s="5">
        <v>7.56</v>
      </c>
      <c r="B230" s="5">
        <v>0.44704665680704081</v>
      </c>
    </row>
    <row r="231" spans="1:2" x14ac:dyDescent="0.45">
      <c r="A231" s="5">
        <v>7.58</v>
      </c>
      <c r="B231" s="5">
        <v>0.44450030681002017</v>
      </c>
    </row>
    <row r="232" spans="1:2" x14ac:dyDescent="0.45">
      <c r="A232" s="5">
        <v>7.6000000000000014</v>
      </c>
      <c r="B232" s="5">
        <v>0.44197511321709138</v>
      </c>
    </row>
    <row r="233" spans="1:2" x14ac:dyDescent="0.45">
      <c r="A233" s="5">
        <v>7.62</v>
      </c>
      <c r="B233" s="5">
        <v>0.43947084526671232</v>
      </c>
    </row>
    <row r="234" spans="1:2" x14ac:dyDescent="0.45">
      <c r="A234" s="5">
        <v>7.64</v>
      </c>
      <c r="B234" s="5">
        <v>0.43698727531093812</v>
      </c>
    </row>
    <row r="235" spans="1:2" x14ac:dyDescent="0.45">
      <c r="A235" s="5">
        <v>7.66</v>
      </c>
      <c r="B235" s="5">
        <v>0.43452417876540322</v>
      </c>
    </row>
    <row r="236" spans="1:2" x14ac:dyDescent="0.45">
      <c r="A236" s="5">
        <v>7.68</v>
      </c>
      <c r="B236" s="5">
        <v>0.43208133406023469</v>
      </c>
    </row>
    <row r="237" spans="1:2" x14ac:dyDescent="0.45">
      <c r="A237" s="5">
        <v>7.7</v>
      </c>
      <c r="B237" s="5">
        <v>0.42965852259187609</v>
      </c>
    </row>
    <row r="238" spans="1:2" x14ac:dyDescent="0.45">
      <c r="A238" s="5">
        <v>7.72</v>
      </c>
      <c r="B238" s="5">
        <v>0.42725552867580568</v>
      </c>
    </row>
    <row r="239" spans="1:2" x14ac:dyDescent="0.45">
      <c r="A239" s="5">
        <v>7.74</v>
      </c>
      <c r="B239" s="5">
        <v>0.42487213950012698</v>
      </c>
    </row>
    <row r="240" spans="1:2" x14ac:dyDescent="0.45">
      <c r="A240" s="5">
        <v>7.76</v>
      </c>
      <c r="B240" s="5">
        <v>0.42250814508001561</v>
      </c>
    </row>
    <row r="241" spans="1:2" x14ac:dyDescent="0.45">
      <c r="A241" s="5">
        <v>7.78</v>
      </c>
      <c r="B241" s="5">
        <v>0.42016333821300261</v>
      </c>
    </row>
    <row r="242" spans="1:2" x14ac:dyDescent="0.45">
      <c r="A242" s="5">
        <v>7.8</v>
      </c>
      <c r="B242" s="5">
        <v>0.41783751443507888</v>
      </c>
    </row>
    <row r="243" spans="1:2" x14ac:dyDescent="0.45">
      <c r="A243" s="5">
        <v>7.82</v>
      </c>
      <c r="B243" s="5">
        <v>0.41553047197760151</v>
      </c>
    </row>
    <row r="244" spans="1:2" x14ac:dyDescent="0.45">
      <c r="A244" s="5">
        <v>7.84</v>
      </c>
      <c r="B244" s="5">
        <v>0.41324201172498698</v>
      </c>
    </row>
    <row r="245" spans="1:2" x14ac:dyDescent="0.45">
      <c r="A245" s="5">
        <v>7.86</v>
      </c>
      <c r="B245" s="5">
        <v>0.41097193717317348</v>
      </c>
    </row>
    <row r="246" spans="1:2" x14ac:dyDescent="0.45">
      <c r="A246" s="5">
        <v>7.88</v>
      </c>
      <c r="B246" s="5">
        <v>0.40872005438883813</v>
      </c>
    </row>
    <row r="247" spans="1:2" x14ac:dyDescent="0.45">
      <c r="A247" s="5">
        <v>7.9</v>
      </c>
      <c r="B247" s="5">
        <v>0.40648617196935111</v>
      </c>
    </row>
    <row r="248" spans="1:2" x14ac:dyDescent="0.45">
      <c r="A248" s="5">
        <v>7.92</v>
      </c>
      <c r="B248" s="5">
        <v>0.40427010100345562</v>
      </c>
    </row>
    <row r="249" spans="1:2" x14ac:dyDescent="0.45">
      <c r="A249" s="5">
        <v>7.94</v>
      </c>
      <c r="B249" s="5">
        <v>0.40207165503265241</v>
      </c>
    </row>
    <row r="250" spans="1:2" x14ac:dyDescent="0.45">
      <c r="A250" s="5">
        <v>7.96</v>
      </c>
      <c r="B250" s="5">
        <v>0.399890650013282</v>
      </c>
    </row>
    <row r="251" spans="1:2" x14ac:dyDescent="0.45">
      <c r="A251" s="5">
        <v>7.98</v>
      </c>
      <c r="B251" s="5">
        <v>0.39772690427928359</v>
      </c>
    </row>
    <row r="252" spans="1:2" x14ac:dyDescent="0.45">
      <c r="A252" s="5">
        <v>8</v>
      </c>
      <c r="B252" s="5">
        <v>0.3955802385056218</v>
      </c>
    </row>
    <row r="253" spans="1:2" x14ac:dyDescent="0.45">
      <c r="A253" s="5">
        <v>8.02</v>
      </c>
      <c r="B253" s="5">
        <v>0.39345047567236419</v>
      </c>
    </row>
    <row r="254" spans="1:2" x14ac:dyDescent="0.45">
      <c r="A254" s="5">
        <v>8.0399999999999991</v>
      </c>
      <c r="B254" s="5">
        <v>0.39133744102939932</v>
      </c>
    </row>
    <row r="255" spans="1:2" x14ac:dyDescent="0.45">
      <c r="A255" s="5">
        <v>8.06</v>
      </c>
      <c r="B255" s="5">
        <v>0.38924096206177888</v>
      </c>
    </row>
    <row r="256" spans="1:2" x14ac:dyDescent="0.45">
      <c r="A256" s="5">
        <v>8.08</v>
      </c>
      <c r="B256" s="5">
        <v>0.38716086845567682</v>
      </c>
    </row>
    <row r="257" spans="1:2" x14ac:dyDescent="0.45">
      <c r="A257" s="5">
        <v>8.1000000000000014</v>
      </c>
      <c r="B257" s="5">
        <v>0.38509699206494452</v>
      </c>
    </row>
    <row r="258" spans="1:2" x14ac:dyDescent="0.45">
      <c r="A258" s="5">
        <v>8.120000000000001</v>
      </c>
      <c r="B258" s="5">
        <v>0.38304916687826063</v>
      </c>
    </row>
    <row r="259" spans="1:2" x14ac:dyDescent="0.45">
      <c r="A259" s="5">
        <v>8.14</v>
      </c>
      <c r="B259" s="5">
        <v>0.38101722898685358</v>
      </c>
    </row>
    <row r="260" spans="1:2" x14ac:dyDescent="0.45">
      <c r="A260" s="5">
        <v>8.16</v>
      </c>
      <c r="B260" s="5">
        <v>0.37900101655279322</v>
      </c>
    </row>
    <row r="261" spans="1:2" x14ac:dyDescent="0.45">
      <c r="A261" s="5">
        <v>8.18</v>
      </c>
      <c r="B261" s="5">
        <v>0.37700036977783402</v>
      </c>
    </row>
    <row r="262" spans="1:2" x14ac:dyDescent="0.45">
      <c r="A262" s="5">
        <v>8.1999999999999993</v>
      </c>
      <c r="B262" s="5">
        <v>0.3750151308728048</v>
      </c>
    </row>
    <row r="263" spans="1:2" x14ac:dyDescent="0.45">
      <c r="A263" s="5">
        <v>8.2199999999999989</v>
      </c>
      <c r="B263" s="5">
        <v>0.37304514402752847</v>
      </c>
    </row>
    <row r="264" spans="1:2" x14ac:dyDescent="0.45">
      <c r="A264" s="5">
        <v>8.24</v>
      </c>
      <c r="B264" s="5">
        <v>0.3710902553812655</v>
      </c>
    </row>
    <row r="265" spans="1:2" x14ac:dyDescent="0.45">
      <c r="A265" s="5">
        <v>8.26</v>
      </c>
      <c r="B265" s="5">
        <v>0.36915031299366868</v>
      </c>
    </row>
    <row r="266" spans="1:2" x14ac:dyDescent="0.45">
      <c r="A266" s="5">
        <v>8.2800000000000011</v>
      </c>
      <c r="B266" s="5">
        <v>0.36722516681623962</v>
      </c>
    </row>
    <row r="267" spans="1:2" x14ac:dyDescent="0.45">
      <c r="A267" s="5">
        <v>8.3000000000000007</v>
      </c>
      <c r="B267" s="5">
        <v>0.36531466866427731</v>
      </c>
    </row>
    <row r="268" spans="1:2" x14ac:dyDescent="0.45">
      <c r="A268" s="5">
        <v>8.32</v>
      </c>
      <c r="B268" s="5">
        <v>0.36341867218930901</v>
      </c>
    </row>
    <row r="269" spans="1:2" x14ac:dyDescent="0.45">
      <c r="A269" s="5">
        <v>8.34</v>
      </c>
      <c r="B269" s="5">
        <v>0.36153703285199362</v>
      </c>
    </row>
    <row r="270" spans="1:2" x14ac:dyDescent="0.45">
      <c r="A270" s="5">
        <v>8.36</v>
      </c>
      <c r="B270" s="5">
        <v>0.35966960789548919</v>
      </c>
    </row>
    <row r="271" spans="1:2" x14ac:dyDescent="0.45">
      <c r="A271" s="5">
        <v>8.379999999999999</v>
      </c>
      <c r="B271" s="5">
        <v>0.35781625631927472</v>
      </c>
    </row>
    <row r="272" spans="1:2" x14ac:dyDescent="0.45">
      <c r="A272" s="5">
        <v>8.4</v>
      </c>
      <c r="B272" s="5">
        <v>0.35597683885341758</v>
      </c>
    </row>
    <row r="273" spans="1:2" x14ac:dyDescent="0.45">
      <c r="A273" s="5">
        <v>8.42</v>
      </c>
      <c r="B273" s="5">
        <v>0.35415121793327919</v>
      </c>
    </row>
    <row r="274" spans="1:2" x14ac:dyDescent="0.45">
      <c r="A274" s="5">
        <v>8.4400000000000013</v>
      </c>
      <c r="B274" s="5">
        <v>0.35233925767464702</v>
      </c>
    </row>
    <row r="275" spans="1:2" x14ac:dyDescent="0.45">
      <c r="A275" s="5">
        <v>8.4600000000000009</v>
      </c>
      <c r="B275" s="5">
        <v>0.35054082384928992</v>
      </c>
    </row>
    <row r="276" spans="1:2" x14ac:dyDescent="0.45">
      <c r="A276" s="5">
        <v>8.48</v>
      </c>
      <c r="B276" s="5">
        <v>0.34875578386092398</v>
      </c>
    </row>
    <row r="277" spans="1:2" x14ac:dyDescent="0.45">
      <c r="A277" s="5">
        <v>8.5</v>
      </c>
      <c r="B277" s="5">
        <v>0.34698400672158303</v>
      </c>
    </row>
    <row r="278" spans="1:2" x14ac:dyDescent="0.45">
      <c r="A278" s="5">
        <v>8.52</v>
      </c>
      <c r="B278" s="5">
        <v>0.34522536302838652</v>
      </c>
    </row>
    <row r="279" spans="1:2" x14ac:dyDescent="0.45">
      <c r="A279" s="5">
        <v>8.5399999999999991</v>
      </c>
      <c r="B279" s="5">
        <v>0.34347972494069612</v>
      </c>
    </row>
    <row r="280" spans="1:2" x14ac:dyDescent="0.45">
      <c r="A280" s="5">
        <v>8.56</v>
      </c>
      <c r="B280" s="5">
        <v>0.34174696615765382</v>
      </c>
    </row>
    <row r="281" spans="1:2" x14ac:dyDescent="0.45">
      <c r="A281" s="5">
        <v>8.58</v>
      </c>
      <c r="B281" s="5">
        <v>0.34002696189609583</v>
      </c>
    </row>
    <row r="282" spans="1:2" x14ac:dyDescent="0.45">
      <c r="A282" s="5">
        <v>8.6000000000000014</v>
      </c>
      <c r="B282" s="5">
        <v>0.33831958886883101</v>
      </c>
    </row>
    <row r="283" spans="1:2" x14ac:dyDescent="0.45">
      <c r="A283" s="5">
        <v>8.620000000000001</v>
      </c>
      <c r="B283" s="5">
        <v>0.3366247252632838</v>
      </c>
    </row>
    <row r="284" spans="1:2" x14ac:dyDescent="0.45">
      <c r="A284" s="5">
        <v>8.64</v>
      </c>
      <c r="B284" s="5">
        <v>0.33494225072048639</v>
      </c>
    </row>
    <row r="285" spans="1:2" x14ac:dyDescent="0.45">
      <c r="A285" s="5">
        <v>8.66</v>
      </c>
      <c r="B285" s="5">
        <v>0.33327204631442181</v>
      </c>
    </row>
    <row r="286" spans="1:2" x14ac:dyDescent="0.45">
      <c r="A286" s="5">
        <v>8.68</v>
      </c>
      <c r="B286" s="5">
        <v>0.33161399453170443</v>
      </c>
    </row>
    <row r="287" spans="1:2" x14ac:dyDescent="0.45">
      <c r="A287" s="5">
        <v>8.6999999999999993</v>
      </c>
      <c r="B287" s="5">
        <v>0.3299679792515966</v>
      </c>
    </row>
    <row r="288" spans="1:2" x14ac:dyDescent="0.45">
      <c r="A288" s="5">
        <v>8.7199999999999989</v>
      </c>
      <c r="B288" s="5">
        <v>0.32833388572635219</v>
      </c>
    </row>
    <row r="289" spans="1:2" x14ac:dyDescent="0.45">
      <c r="A289" s="5">
        <v>8.74</v>
      </c>
      <c r="B289" s="5">
        <v>0.32671160056188159</v>
      </c>
    </row>
    <row r="290" spans="1:2" x14ac:dyDescent="0.45">
      <c r="A290" s="5">
        <v>8.76</v>
      </c>
      <c r="B290" s="5">
        <v>0.32510101169873379</v>
      </c>
    </row>
    <row r="291" spans="1:2" x14ac:dyDescent="0.45">
      <c r="A291" s="5">
        <v>8.7800000000000011</v>
      </c>
      <c r="B291" s="5">
        <v>0.32350200839338628</v>
      </c>
    </row>
    <row r="292" spans="1:2" x14ac:dyDescent="0.45">
      <c r="A292" s="5">
        <v>8.8000000000000007</v>
      </c>
      <c r="B292" s="5">
        <v>0.32191448119984101</v>
      </c>
    </row>
    <row r="293" spans="1:2" x14ac:dyDescent="0.45">
      <c r="A293" s="5">
        <v>8.82</v>
      </c>
      <c r="B293" s="5">
        <v>0.32033832195151779</v>
      </c>
    </row>
    <row r="294" spans="1:2" x14ac:dyDescent="0.45">
      <c r="A294" s="5">
        <v>8.84</v>
      </c>
      <c r="B294" s="5">
        <v>0.31877342374344092</v>
      </c>
    </row>
    <row r="295" spans="1:2" x14ac:dyDescent="0.45">
      <c r="A295" s="5">
        <v>8.86</v>
      </c>
      <c r="B295" s="5">
        <v>0.31721968091471342</v>
      </c>
    </row>
    <row r="296" spans="1:2" x14ac:dyDescent="0.45">
      <c r="A296" s="5">
        <v>8.879999999999999</v>
      </c>
      <c r="B296" s="5">
        <v>0.31567698903127378</v>
      </c>
    </row>
    <row r="297" spans="1:2" x14ac:dyDescent="0.45">
      <c r="A297" s="5">
        <v>8.9</v>
      </c>
      <c r="B297" s="5">
        <v>0.31414524486892997</v>
      </c>
    </row>
    <row r="298" spans="1:2" x14ac:dyDescent="0.45">
      <c r="A298" s="5">
        <v>8.92</v>
      </c>
      <c r="B298" s="5">
        <v>0.31262434639666509</v>
      </c>
    </row>
    <row r="299" spans="1:2" x14ac:dyDescent="0.45">
      <c r="A299" s="5">
        <v>8.9400000000000013</v>
      </c>
      <c r="B299" s="5">
        <v>0.31111419276020991</v>
      </c>
    </row>
    <row r="300" spans="1:2" x14ac:dyDescent="0.45">
      <c r="A300" s="5">
        <v>8.9600000000000009</v>
      </c>
      <c r="B300" s="5">
        <v>0.30961468426587913</v>
      </c>
    </row>
    <row r="301" spans="1:2" x14ac:dyDescent="0.45">
      <c r="A301" s="5">
        <v>8.98</v>
      </c>
      <c r="B301" s="5">
        <v>0.30812572236466329</v>
      </c>
    </row>
    <row r="302" spans="1:2" x14ac:dyDescent="0.45">
      <c r="A302" s="5">
        <v>9</v>
      </c>
      <c r="B302" s="5">
        <v>0.30664720963657499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52"/>
  <sheetViews>
    <sheetView workbookViewId="0"/>
  </sheetViews>
  <sheetFormatPr defaultRowHeight="14.25" x14ac:dyDescent="0.45"/>
  <cols>
    <col min="1" max="2" width="16.73046875" customWidth="1"/>
  </cols>
  <sheetData>
    <row r="1" spans="1:2" x14ac:dyDescent="0.45">
      <c r="A1" s="4" t="s">
        <v>35</v>
      </c>
      <c r="B1" s="4" t="s">
        <v>36</v>
      </c>
    </row>
    <row r="2" spans="1:2" x14ac:dyDescent="0.45">
      <c r="A2" s="5">
        <v>2</v>
      </c>
      <c r="B2" s="5">
        <v>2.4516624999999999</v>
      </c>
    </row>
    <row r="3" spans="1:2" x14ac:dyDescent="0.45">
      <c r="A3" s="5">
        <v>2.008</v>
      </c>
      <c r="B3" s="5">
        <v>2.4438171799999999</v>
      </c>
    </row>
    <row r="4" spans="1:2" x14ac:dyDescent="0.45">
      <c r="A4" s="5">
        <v>2.016</v>
      </c>
      <c r="B4" s="5">
        <v>2.43597186</v>
      </c>
    </row>
    <row r="5" spans="1:2" x14ac:dyDescent="0.45">
      <c r="A5" s="5">
        <v>2.024</v>
      </c>
      <c r="B5" s="5">
        <v>2.4281265400000001</v>
      </c>
    </row>
    <row r="6" spans="1:2" x14ac:dyDescent="0.45">
      <c r="A6" s="5">
        <v>2.032</v>
      </c>
      <c r="B6" s="5">
        <v>2.4202812200000001</v>
      </c>
    </row>
    <row r="7" spans="1:2" x14ac:dyDescent="0.45">
      <c r="A7" s="5">
        <v>2.04</v>
      </c>
      <c r="B7" s="5">
        <v>2.4124359000000002</v>
      </c>
    </row>
    <row r="8" spans="1:2" x14ac:dyDescent="0.45">
      <c r="A8" s="5">
        <v>2.048</v>
      </c>
      <c r="B8" s="5">
        <v>2.4045905799999998</v>
      </c>
    </row>
    <row r="9" spans="1:2" x14ac:dyDescent="0.45">
      <c r="A9" s="5">
        <v>2.056</v>
      </c>
      <c r="B9" s="5">
        <v>2.3967452599999999</v>
      </c>
    </row>
    <row r="10" spans="1:2" x14ac:dyDescent="0.45">
      <c r="A10" s="5">
        <v>2.0640000000000001</v>
      </c>
      <c r="B10" s="5">
        <v>2.3888999399999999</v>
      </c>
    </row>
    <row r="11" spans="1:2" x14ac:dyDescent="0.45">
      <c r="A11" s="5">
        <v>2.0720000000000001</v>
      </c>
      <c r="B11" s="5">
        <v>2.38105462</v>
      </c>
    </row>
    <row r="12" spans="1:2" x14ac:dyDescent="0.45">
      <c r="A12" s="5">
        <v>2.08</v>
      </c>
      <c r="B12" s="5">
        <v>2.3732093000000001</v>
      </c>
    </row>
    <row r="13" spans="1:2" x14ac:dyDescent="0.45">
      <c r="A13" s="5">
        <v>2.0880000000000001</v>
      </c>
      <c r="B13" s="5">
        <v>2.3653639800000001</v>
      </c>
    </row>
    <row r="14" spans="1:2" x14ac:dyDescent="0.45">
      <c r="A14" s="5">
        <v>2.0960000000000001</v>
      </c>
      <c r="B14" s="5">
        <v>2.3575186600000002</v>
      </c>
    </row>
    <row r="15" spans="1:2" x14ac:dyDescent="0.45">
      <c r="A15" s="5">
        <v>2.1040000000000001</v>
      </c>
      <c r="B15" s="5">
        <v>2.3496733399999998</v>
      </c>
    </row>
    <row r="16" spans="1:2" x14ac:dyDescent="0.45">
      <c r="A16" s="5">
        <v>2.1120000000000001</v>
      </c>
      <c r="B16" s="5">
        <v>2.3418280199999999</v>
      </c>
    </row>
    <row r="17" spans="1:2" x14ac:dyDescent="0.45">
      <c r="A17" s="5">
        <v>2.12</v>
      </c>
      <c r="B17" s="5">
        <v>2.3339827</v>
      </c>
    </row>
    <row r="18" spans="1:2" x14ac:dyDescent="0.45">
      <c r="A18" s="5">
        <v>2.1280000000000001</v>
      </c>
      <c r="B18" s="5">
        <v>2.32613738</v>
      </c>
    </row>
    <row r="19" spans="1:2" x14ac:dyDescent="0.45">
      <c r="A19" s="5">
        <v>2.1360000000000001</v>
      </c>
      <c r="B19" s="5">
        <v>2.3182920600000001</v>
      </c>
    </row>
    <row r="20" spans="1:2" x14ac:dyDescent="0.45">
      <c r="A20" s="5">
        <v>2.1440000000000001</v>
      </c>
      <c r="B20" s="5">
        <v>2.3104467400000002</v>
      </c>
    </row>
    <row r="21" spans="1:2" x14ac:dyDescent="0.45">
      <c r="A21" s="5">
        <v>2.1520000000000001</v>
      </c>
      <c r="B21" s="5">
        <v>2.3026014199999998</v>
      </c>
    </row>
    <row r="22" spans="1:2" x14ac:dyDescent="0.45">
      <c r="A22" s="5">
        <v>2.16</v>
      </c>
      <c r="B22" s="5">
        <v>2.2947560999999999</v>
      </c>
    </row>
    <row r="23" spans="1:2" x14ac:dyDescent="0.45">
      <c r="A23" s="5">
        <v>2.1680000000000001</v>
      </c>
      <c r="B23" s="5">
        <v>2.2869107799999999</v>
      </c>
    </row>
    <row r="24" spans="1:2" x14ac:dyDescent="0.45">
      <c r="A24" s="5">
        <v>2.1760000000000002</v>
      </c>
      <c r="B24" s="5">
        <v>2.27906546</v>
      </c>
    </row>
    <row r="25" spans="1:2" x14ac:dyDescent="0.45">
      <c r="A25" s="5">
        <v>2.1840000000000002</v>
      </c>
      <c r="B25" s="5">
        <v>2.2712201400000001</v>
      </c>
    </row>
    <row r="26" spans="1:2" x14ac:dyDescent="0.45">
      <c r="A26" s="5">
        <v>2.1920000000000002</v>
      </c>
      <c r="B26" s="5">
        <v>2.2633748200000001</v>
      </c>
    </row>
    <row r="27" spans="1:2" x14ac:dyDescent="0.45">
      <c r="A27" s="5">
        <v>2.2000000000000002</v>
      </c>
      <c r="B27" s="5">
        <v>2.2555295000000002</v>
      </c>
    </row>
    <row r="28" spans="1:2" x14ac:dyDescent="0.45">
      <c r="A28" s="5">
        <v>2.2080000000000002</v>
      </c>
      <c r="B28" s="5">
        <v>2.2476841799999998</v>
      </c>
    </row>
    <row r="29" spans="1:2" x14ac:dyDescent="0.45">
      <c r="A29" s="5">
        <v>2.2160000000000002</v>
      </c>
      <c r="B29" s="5">
        <v>2.2398388599999999</v>
      </c>
    </row>
    <row r="30" spans="1:2" x14ac:dyDescent="0.45">
      <c r="A30" s="5">
        <v>2.2240000000000002</v>
      </c>
      <c r="B30" s="5">
        <v>2.2319935399999991</v>
      </c>
    </row>
    <row r="31" spans="1:2" x14ac:dyDescent="0.45">
      <c r="A31" s="5">
        <v>2.2320000000000002</v>
      </c>
      <c r="B31" s="5">
        <v>2.22414822</v>
      </c>
    </row>
    <row r="32" spans="1:2" x14ac:dyDescent="0.45">
      <c r="A32" s="5">
        <v>2.2400000000000002</v>
      </c>
      <c r="B32" s="5">
        <v>2.2163029000000001</v>
      </c>
    </row>
    <row r="33" spans="1:2" x14ac:dyDescent="0.45">
      <c r="A33" s="5">
        <v>2.2480000000000002</v>
      </c>
      <c r="B33" s="5">
        <v>2.2084575800000001</v>
      </c>
    </row>
    <row r="34" spans="1:2" x14ac:dyDescent="0.45">
      <c r="A34" s="5">
        <v>2.2559999999999998</v>
      </c>
      <c r="B34" s="5">
        <v>2.2006122600000002</v>
      </c>
    </row>
    <row r="35" spans="1:2" x14ac:dyDescent="0.45">
      <c r="A35" s="5">
        <v>2.2639999999999998</v>
      </c>
      <c r="B35" s="5">
        <v>2.1927669399999998</v>
      </c>
    </row>
    <row r="36" spans="1:2" x14ac:dyDescent="0.45">
      <c r="A36" s="5">
        <v>2.2719999999999998</v>
      </c>
      <c r="B36" s="5">
        <v>2.1849216199999999</v>
      </c>
    </row>
    <row r="37" spans="1:2" x14ac:dyDescent="0.45">
      <c r="A37" s="5">
        <v>2.2799999999999998</v>
      </c>
      <c r="B37" s="5">
        <v>2.1770763</v>
      </c>
    </row>
    <row r="38" spans="1:2" x14ac:dyDescent="0.45">
      <c r="A38" s="5">
        <v>2.2879999999999998</v>
      </c>
      <c r="B38" s="5">
        <v>2.16923098</v>
      </c>
    </row>
    <row r="39" spans="1:2" x14ac:dyDescent="0.45">
      <c r="A39" s="5">
        <v>2.2959999999999998</v>
      </c>
      <c r="B39" s="5">
        <v>2.1613856600000001</v>
      </c>
    </row>
    <row r="40" spans="1:2" x14ac:dyDescent="0.45">
      <c r="A40" s="5">
        <v>2.3039999999999998</v>
      </c>
      <c r="B40" s="5">
        <v>2.1535403400000002</v>
      </c>
    </row>
    <row r="41" spans="1:2" x14ac:dyDescent="0.45">
      <c r="A41" s="5">
        <v>2.3119999999999998</v>
      </c>
      <c r="B41" s="5">
        <v>2.1456950199999998</v>
      </c>
    </row>
    <row r="42" spans="1:2" x14ac:dyDescent="0.45">
      <c r="A42" s="5">
        <v>2.3199999999999998</v>
      </c>
      <c r="B42" s="5">
        <v>2.1378496999999999</v>
      </c>
    </row>
    <row r="43" spans="1:2" x14ac:dyDescent="0.45">
      <c r="A43" s="5">
        <v>2.3279999999999998</v>
      </c>
      <c r="B43" s="5">
        <v>2.1300043799999999</v>
      </c>
    </row>
    <row r="44" spans="1:2" x14ac:dyDescent="0.45">
      <c r="A44" s="5">
        <v>2.3359999999999999</v>
      </c>
      <c r="B44" s="5">
        <v>2.12215906</v>
      </c>
    </row>
    <row r="45" spans="1:2" x14ac:dyDescent="0.45">
      <c r="A45" s="5">
        <v>2.3439999999999999</v>
      </c>
      <c r="B45" s="5">
        <v>2.1143137400000001</v>
      </c>
    </row>
    <row r="46" spans="1:2" x14ac:dyDescent="0.45">
      <c r="A46" s="5">
        <v>2.3519999999999999</v>
      </c>
      <c r="B46" s="5">
        <v>2.1064684200000001</v>
      </c>
    </row>
    <row r="47" spans="1:2" x14ac:dyDescent="0.45">
      <c r="A47" s="5">
        <v>2.36</v>
      </c>
      <c r="B47" s="5">
        <v>2.0986231000000002</v>
      </c>
    </row>
    <row r="48" spans="1:2" x14ac:dyDescent="0.45">
      <c r="A48" s="5">
        <v>2.3679999999999999</v>
      </c>
      <c r="B48" s="5">
        <v>2.0907777799999998</v>
      </c>
    </row>
    <row r="49" spans="1:2" x14ac:dyDescent="0.45">
      <c r="A49" s="5">
        <v>2.3759999999999999</v>
      </c>
      <c r="B49" s="5">
        <v>2.0829324599999999</v>
      </c>
    </row>
    <row r="50" spans="1:2" x14ac:dyDescent="0.45">
      <c r="A50" s="5">
        <v>2.3839999999999999</v>
      </c>
      <c r="B50" s="5">
        <v>2.0750871399999999</v>
      </c>
    </row>
    <row r="51" spans="1:2" x14ac:dyDescent="0.45">
      <c r="A51" s="5">
        <v>2.3919999999999999</v>
      </c>
      <c r="B51" s="5">
        <v>2.06724182</v>
      </c>
    </row>
    <row r="52" spans="1:2" x14ac:dyDescent="0.45">
      <c r="A52" s="5">
        <v>2.4</v>
      </c>
      <c r="B52" s="5">
        <v>2.0593965000000001</v>
      </c>
    </row>
    <row r="53" spans="1:2" x14ac:dyDescent="0.45">
      <c r="A53" s="5">
        <v>2.4079999999999999</v>
      </c>
      <c r="B53" s="5">
        <v>2.0515511800000001</v>
      </c>
    </row>
    <row r="54" spans="1:2" x14ac:dyDescent="0.45">
      <c r="A54" s="5">
        <v>2.4159999999999999</v>
      </c>
      <c r="B54" s="5">
        <v>2.0437058600000002</v>
      </c>
    </row>
    <row r="55" spans="1:2" x14ac:dyDescent="0.45">
      <c r="A55" s="5">
        <v>2.4239999999999999</v>
      </c>
      <c r="B55" s="5">
        <v>2.0358605399999998</v>
      </c>
    </row>
    <row r="56" spans="1:2" x14ac:dyDescent="0.45">
      <c r="A56" s="5">
        <v>2.4319999999999999</v>
      </c>
      <c r="B56" s="5">
        <v>2.0280152199999999</v>
      </c>
    </row>
    <row r="57" spans="1:2" x14ac:dyDescent="0.45">
      <c r="A57" s="5">
        <v>2.44</v>
      </c>
      <c r="B57" s="5">
        <v>2.0201699</v>
      </c>
    </row>
    <row r="58" spans="1:2" x14ac:dyDescent="0.45">
      <c r="A58" s="5">
        <v>2.448</v>
      </c>
      <c r="B58" s="5">
        <v>2.01232458</v>
      </c>
    </row>
    <row r="59" spans="1:2" x14ac:dyDescent="0.45">
      <c r="A59" s="5">
        <v>2.456</v>
      </c>
      <c r="B59" s="5">
        <v>2.0044792600000001</v>
      </c>
    </row>
    <row r="60" spans="1:2" x14ac:dyDescent="0.45">
      <c r="A60" s="5">
        <v>2.464</v>
      </c>
      <c r="B60" s="5">
        <v>1.9966339399999999</v>
      </c>
    </row>
    <row r="61" spans="1:2" x14ac:dyDescent="0.45">
      <c r="A61" s="5">
        <v>2.472</v>
      </c>
      <c r="B61" s="5">
        <v>1.98878862</v>
      </c>
    </row>
    <row r="62" spans="1:2" x14ac:dyDescent="0.45">
      <c r="A62" s="5">
        <v>2.48</v>
      </c>
      <c r="B62" s="5">
        <v>1.9809433000000001</v>
      </c>
    </row>
    <row r="63" spans="1:2" x14ac:dyDescent="0.45">
      <c r="A63" s="5">
        <v>2.488</v>
      </c>
      <c r="B63" s="5">
        <v>1.9730979799999999</v>
      </c>
    </row>
    <row r="64" spans="1:2" x14ac:dyDescent="0.45">
      <c r="A64" s="5">
        <v>2.496</v>
      </c>
      <c r="B64" s="5">
        <v>1.96525266</v>
      </c>
    </row>
    <row r="65" spans="1:2" x14ac:dyDescent="0.45">
      <c r="A65" s="5">
        <v>2.504</v>
      </c>
      <c r="B65" s="5">
        <v>1.9566228080000001</v>
      </c>
    </row>
    <row r="66" spans="1:2" x14ac:dyDescent="0.45">
      <c r="A66" s="5">
        <v>2.512</v>
      </c>
      <c r="B66" s="5">
        <v>1.947208424</v>
      </c>
    </row>
    <row r="67" spans="1:2" x14ac:dyDescent="0.45">
      <c r="A67" s="5">
        <v>2.52</v>
      </c>
      <c r="B67" s="5">
        <v>1.93779404</v>
      </c>
    </row>
    <row r="68" spans="1:2" x14ac:dyDescent="0.45">
      <c r="A68" s="5">
        <v>2.528</v>
      </c>
      <c r="B68" s="5">
        <v>1.9283796559999999</v>
      </c>
    </row>
    <row r="69" spans="1:2" x14ac:dyDescent="0.45">
      <c r="A69" s="5">
        <v>2.536</v>
      </c>
      <c r="B69" s="5">
        <v>1.9189652720000001</v>
      </c>
    </row>
    <row r="70" spans="1:2" x14ac:dyDescent="0.45">
      <c r="A70" s="5">
        <v>2.544</v>
      </c>
      <c r="B70" s="5">
        <v>1.9095508880000001</v>
      </c>
    </row>
    <row r="71" spans="1:2" x14ac:dyDescent="0.45">
      <c r="A71" s="5">
        <v>2.552</v>
      </c>
      <c r="B71" s="5">
        <v>1.900136504</v>
      </c>
    </row>
    <row r="72" spans="1:2" x14ac:dyDescent="0.45">
      <c r="A72" s="5">
        <v>2.56</v>
      </c>
      <c r="B72" s="5">
        <v>1.89072212</v>
      </c>
    </row>
    <row r="73" spans="1:2" x14ac:dyDescent="0.45">
      <c r="A73" s="5">
        <v>2.5680000000000001</v>
      </c>
      <c r="B73" s="5">
        <v>1.8813077359999999</v>
      </c>
    </row>
    <row r="74" spans="1:2" x14ac:dyDescent="0.45">
      <c r="A74" s="5">
        <v>2.5760000000000001</v>
      </c>
      <c r="B74" s="5">
        <v>1.8718933520000001</v>
      </c>
    </row>
    <row r="75" spans="1:2" x14ac:dyDescent="0.45">
      <c r="A75" s="5">
        <v>2.5840000000000001</v>
      </c>
      <c r="B75" s="5">
        <v>1.862478968</v>
      </c>
    </row>
    <row r="76" spans="1:2" x14ac:dyDescent="0.45">
      <c r="A76" s="5">
        <v>2.5920000000000001</v>
      </c>
      <c r="B76" s="5">
        <v>1.853064584</v>
      </c>
    </row>
    <row r="77" spans="1:2" x14ac:dyDescent="0.45">
      <c r="A77" s="5">
        <v>2.6</v>
      </c>
      <c r="B77" s="5">
        <v>1.8436501999999999</v>
      </c>
    </row>
    <row r="78" spans="1:2" x14ac:dyDescent="0.45">
      <c r="A78" s="5">
        <v>2.6080000000000001</v>
      </c>
      <c r="B78" s="5">
        <v>1.8342358160000001</v>
      </c>
    </row>
    <row r="79" spans="1:2" x14ac:dyDescent="0.45">
      <c r="A79" s="5">
        <v>2.6160000000000001</v>
      </c>
      <c r="B79" s="5">
        <v>1.824821432</v>
      </c>
    </row>
    <row r="80" spans="1:2" x14ac:dyDescent="0.45">
      <c r="A80" s="5">
        <v>2.6240000000000001</v>
      </c>
      <c r="B80" s="5">
        <v>1.815407048</v>
      </c>
    </row>
    <row r="81" spans="1:2" x14ac:dyDescent="0.45">
      <c r="A81" s="5">
        <v>2.6320000000000001</v>
      </c>
      <c r="B81" s="5">
        <v>1.8059926639999999</v>
      </c>
    </row>
    <row r="82" spans="1:2" x14ac:dyDescent="0.45">
      <c r="A82" s="5">
        <v>2.64</v>
      </c>
      <c r="B82" s="5">
        <v>1.7965782800000001</v>
      </c>
    </row>
    <row r="83" spans="1:2" x14ac:dyDescent="0.45">
      <c r="A83" s="5">
        <v>2.6480000000000001</v>
      </c>
      <c r="B83" s="5">
        <v>1.787163896</v>
      </c>
    </row>
    <row r="84" spans="1:2" x14ac:dyDescent="0.45">
      <c r="A84" s="5">
        <v>2.6560000000000001</v>
      </c>
      <c r="B84" s="5">
        <v>1.777749512</v>
      </c>
    </row>
    <row r="85" spans="1:2" x14ac:dyDescent="0.45">
      <c r="A85" s="5">
        <v>2.6640000000000001</v>
      </c>
      <c r="B85" s="5">
        <v>1.7683351279999999</v>
      </c>
    </row>
    <row r="86" spans="1:2" x14ac:dyDescent="0.45">
      <c r="A86" s="5">
        <v>2.6720000000000002</v>
      </c>
      <c r="B86" s="5">
        <v>1.7589207440000001</v>
      </c>
    </row>
    <row r="87" spans="1:2" x14ac:dyDescent="0.45">
      <c r="A87" s="5">
        <v>2.68</v>
      </c>
      <c r="B87" s="5">
        <v>1.74950636</v>
      </c>
    </row>
    <row r="88" spans="1:2" x14ac:dyDescent="0.45">
      <c r="A88" s="5">
        <v>2.6880000000000002</v>
      </c>
      <c r="B88" s="5">
        <v>1.740091976</v>
      </c>
    </row>
    <row r="89" spans="1:2" x14ac:dyDescent="0.45">
      <c r="A89" s="5">
        <v>2.6960000000000002</v>
      </c>
      <c r="B89" s="5">
        <v>1.7306775919999999</v>
      </c>
    </row>
    <row r="90" spans="1:2" x14ac:dyDescent="0.45">
      <c r="A90" s="5">
        <v>2.7040000000000002</v>
      </c>
      <c r="B90" s="5">
        <v>1.7212632080000001</v>
      </c>
    </row>
    <row r="91" spans="1:2" x14ac:dyDescent="0.45">
      <c r="A91" s="5">
        <v>2.7120000000000002</v>
      </c>
      <c r="B91" s="5">
        <v>1.711848824</v>
      </c>
    </row>
    <row r="92" spans="1:2" x14ac:dyDescent="0.45">
      <c r="A92" s="5">
        <v>2.72</v>
      </c>
      <c r="B92" s="5">
        <v>1.70243444</v>
      </c>
    </row>
    <row r="93" spans="1:2" x14ac:dyDescent="0.45">
      <c r="A93" s="5">
        <v>2.7280000000000002</v>
      </c>
      <c r="B93" s="5">
        <v>1.6930200559999999</v>
      </c>
    </row>
    <row r="94" spans="1:2" x14ac:dyDescent="0.45">
      <c r="A94" s="5">
        <v>2.7360000000000002</v>
      </c>
      <c r="B94" s="5">
        <v>1.6836056720000001</v>
      </c>
    </row>
    <row r="95" spans="1:2" x14ac:dyDescent="0.45">
      <c r="A95" s="5">
        <v>2.7440000000000002</v>
      </c>
      <c r="B95" s="5">
        <v>1.6741912880000001</v>
      </c>
    </row>
    <row r="96" spans="1:2" x14ac:dyDescent="0.45">
      <c r="A96" s="5">
        <v>2.7519999999999998</v>
      </c>
      <c r="B96" s="5">
        <v>1.664776904</v>
      </c>
    </row>
    <row r="97" spans="1:2" x14ac:dyDescent="0.45">
      <c r="A97" s="5">
        <v>2.76</v>
      </c>
      <c r="B97" s="5">
        <v>1.6553625199999999</v>
      </c>
    </row>
    <row r="98" spans="1:2" x14ac:dyDescent="0.45">
      <c r="A98" s="5">
        <v>2.7679999999999998</v>
      </c>
      <c r="B98" s="5">
        <v>1.6459481359999999</v>
      </c>
    </row>
    <row r="99" spans="1:2" x14ac:dyDescent="0.45">
      <c r="A99" s="5">
        <v>2.7759999999999998</v>
      </c>
      <c r="B99" s="5">
        <v>1.6365337520000001</v>
      </c>
    </row>
    <row r="100" spans="1:2" x14ac:dyDescent="0.45">
      <c r="A100" s="5">
        <v>2.7839999999999998</v>
      </c>
      <c r="B100" s="5">
        <v>1.627119368</v>
      </c>
    </row>
    <row r="101" spans="1:2" x14ac:dyDescent="0.45">
      <c r="A101" s="5">
        <v>2.7919999999999998</v>
      </c>
      <c r="B101" s="5">
        <v>1.617704984</v>
      </c>
    </row>
    <row r="102" spans="1:2" x14ac:dyDescent="0.45">
      <c r="A102" s="5">
        <v>2.8</v>
      </c>
      <c r="B102" s="5">
        <v>1.6082905999999999</v>
      </c>
    </row>
    <row r="103" spans="1:2" x14ac:dyDescent="0.45">
      <c r="A103" s="5">
        <v>2.8079999999999998</v>
      </c>
      <c r="B103" s="5">
        <v>1.5988762160000001</v>
      </c>
    </row>
    <row r="104" spans="1:2" x14ac:dyDescent="0.45">
      <c r="A104" s="5">
        <v>2.8159999999999998</v>
      </c>
      <c r="B104" s="5">
        <v>1.589461832</v>
      </c>
    </row>
    <row r="105" spans="1:2" x14ac:dyDescent="0.45">
      <c r="A105" s="5">
        <v>2.8239999999999998</v>
      </c>
      <c r="B105" s="5">
        <v>1.580047448</v>
      </c>
    </row>
    <row r="106" spans="1:2" x14ac:dyDescent="0.45">
      <c r="A106" s="5">
        <v>2.8319999999999999</v>
      </c>
      <c r="B106" s="5">
        <v>1.5706330639999999</v>
      </c>
    </row>
    <row r="107" spans="1:2" x14ac:dyDescent="0.45">
      <c r="A107" s="5">
        <v>2.84</v>
      </c>
      <c r="B107" s="5">
        <v>1.5612186800000001</v>
      </c>
    </row>
    <row r="108" spans="1:2" x14ac:dyDescent="0.45">
      <c r="A108" s="5">
        <v>2.8479999999999999</v>
      </c>
      <c r="B108" s="5">
        <v>1.551804296</v>
      </c>
    </row>
    <row r="109" spans="1:2" x14ac:dyDescent="0.45">
      <c r="A109" s="5">
        <v>2.8559999999999999</v>
      </c>
      <c r="B109" s="5">
        <v>1.542389912</v>
      </c>
    </row>
    <row r="110" spans="1:2" x14ac:dyDescent="0.45">
      <c r="A110" s="5">
        <v>2.8639999999999999</v>
      </c>
      <c r="B110" s="5">
        <v>1.5329755279999999</v>
      </c>
    </row>
    <row r="111" spans="1:2" x14ac:dyDescent="0.45">
      <c r="A111" s="5">
        <v>2.8719999999999999</v>
      </c>
      <c r="B111" s="5">
        <v>1.5235611440000001</v>
      </c>
    </row>
    <row r="112" spans="1:2" x14ac:dyDescent="0.45">
      <c r="A112" s="5">
        <v>2.88</v>
      </c>
      <c r="B112" s="5">
        <v>1.51414676</v>
      </c>
    </row>
    <row r="113" spans="1:2" x14ac:dyDescent="0.45">
      <c r="A113" s="5">
        <v>2.8879999999999999</v>
      </c>
      <c r="B113" s="5">
        <v>1.504732376</v>
      </c>
    </row>
    <row r="114" spans="1:2" x14ac:dyDescent="0.45">
      <c r="A114" s="5">
        <v>2.8959999999999999</v>
      </c>
      <c r="B114" s="5">
        <v>1.4953179919999999</v>
      </c>
    </row>
    <row r="115" spans="1:2" x14ac:dyDescent="0.45">
      <c r="A115" s="5">
        <v>2.9039999999999999</v>
      </c>
      <c r="B115" s="5">
        <v>1.4859036080000001</v>
      </c>
    </row>
    <row r="116" spans="1:2" x14ac:dyDescent="0.45">
      <c r="A116" s="5">
        <v>2.9119999999999999</v>
      </c>
      <c r="B116" s="5">
        <v>1.476489224</v>
      </c>
    </row>
    <row r="117" spans="1:2" x14ac:dyDescent="0.45">
      <c r="A117" s="5">
        <v>2.92</v>
      </c>
      <c r="B117" s="5">
        <v>1.46707484</v>
      </c>
    </row>
    <row r="118" spans="1:2" x14ac:dyDescent="0.45">
      <c r="A118" s="5">
        <v>2.9279999999999999</v>
      </c>
      <c r="B118" s="5">
        <v>1.4576604559999999</v>
      </c>
    </row>
    <row r="119" spans="1:2" x14ac:dyDescent="0.45">
      <c r="A119" s="5">
        <v>2.9359999999999999</v>
      </c>
      <c r="B119" s="5">
        <v>1.4482460720000001</v>
      </c>
    </row>
    <row r="120" spans="1:2" x14ac:dyDescent="0.45">
      <c r="A120" s="5">
        <v>2.944</v>
      </c>
      <c r="B120" s="5">
        <v>1.4388316880000001</v>
      </c>
    </row>
    <row r="121" spans="1:2" x14ac:dyDescent="0.45">
      <c r="A121" s="5">
        <v>2.952</v>
      </c>
      <c r="B121" s="5">
        <v>1.429417304</v>
      </c>
    </row>
    <row r="122" spans="1:2" x14ac:dyDescent="0.45">
      <c r="A122" s="5">
        <v>2.96</v>
      </c>
      <c r="B122" s="5">
        <v>1.4200029199999999</v>
      </c>
    </row>
    <row r="123" spans="1:2" x14ac:dyDescent="0.45">
      <c r="A123" s="5">
        <v>2.968</v>
      </c>
      <c r="B123" s="5">
        <v>1.4105885359999999</v>
      </c>
    </row>
    <row r="124" spans="1:2" x14ac:dyDescent="0.45">
      <c r="A124" s="5">
        <v>2.976</v>
      </c>
      <c r="B124" s="5">
        <v>1.4011741520000001</v>
      </c>
    </row>
    <row r="125" spans="1:2" x14ac:dyDescent="0.45">
      <c r="A125" s="5">
        <v>2.984</v>
      </c>
      <c r="B125" s="5">
        <v>1.391759768</v>
      </c>
    </row>
    <row r="126" spans="1:2" x14ac:dyDescent="0.45">
      <c r="A126" s="5">
        <v>2.992</v>
      </c>
      <c r="B126" s="5">
        <v>1.382345384</v>
      </c>
    </row>
    <row r="127" spans="1:2" x14ac:dyDescent="0.45">
      <c r="A127" s="5">
        <v>3</v>
      </c>
      <c r="B127" s="5">
        <v>1.3729309999999999</v>
      </c>
    </row>
    <row r="128" spans="1:2" x14ac:dyDescent="0.45">
      <c r="A128" s="5">
        <v>3.008</v>
      </c>
      <c r="B128" s="5">
        <v>1.368223808</v>
      </c>
    </row>
    <row r="129" spans="1:2" x14ac:dyDescent="0.45">
      <c r="A129" s="5">
        <v>3.016</v>
      </c>
      <c r="B129" s="5">
        <v>1.3635166160000001</v>
      </c>
    </row>
    <row r="130" spans="1:2" x14ac:dyDescent="0.45">
      <c r="A130" s="5">
        <v>3.024</v>
      </c>
      <c r="B130" s="5">
        <v>1.3588094239999999</v>
      </c>
    </row>
    <row r="131" spans="1:2" x14ac:dyDescent="0.45">
      <c r="A131" s="5">
        <v>3.032</v>
      </c>
      <c r="B131" s="5">
        <v>1.354102232</v>
      </c>
    </row>
    <row r="132" spans="1:2" x14ac:dyDescent="0.45">
      <c r="A132" s="5">
        <v>3.04</v>
      </c>
      <c r="B132" s="5">
        <v>1.3493950400000001</v>
      </c>
    </row>
    <row r="133" spans="1:2" x14ac:dyDescent="0.45">
      <c r="A133" s="5">
        <v>3.048</v>
      </c>
      <c r="B133" s="5">
        <v>1.344687848</v>
      </c>
    </row>
    <row r="134" spans="1:2" x14ac:dyDescent="0.45">
      <c r="A134" s="5">
        <v>3.056</v>
      </c>
      <c r="B134" s="5">
        <v>1.339980656</v>
      </c>
    </row>
    <row r="135" spans="1:2" x14ac:dyDescent="0.45">
      <c r="A135" s="5">
        <v>3.0640000000000001</v>
      </c>
      <c r="B135" s="5">
        <v>1.3352734639999999</v>
      </c>
    </row>
    <row r="136" spans="1:2" x14ac:dyDescent="0.45">
      <c r="A136" s="5">
        <v>3.0720000000000001</v>
      </c>
      <c r="B136" s="5">
        <v>1.330566272</v>
      </c>
    </row>
    <row r="137" spans="1:2" x14ac:dyDescent="0.45">
      <c r="A137" s="5">
        <v>3.08</v>
      </c>
      <c r="B137" s="5">
        <v>1.3258590800000001</v>
      </c>
    </row>
    <row r="138" spans="1:2" x14ac:dyDescent="0.45">
      <c r="A138" s="5">
        <v>3.0880000000000001</v>
      </c>
      <c r="B138" s="5">
        <v>1.3211518879999999</v>
      </c>
    </row>
    <row r="139" spans="1:2" x14ac:dyDescent="0.45">
      <c r="A139" s="5">
        <v>3.0960000000000001</v>
      </c>
      <c r="B139" s="5">
        <v>1.316444696</v>
      </c>
    </row>
    <row r="140" spans="1:2" x14ac:dyDescent="0.45">
      <c r="A140" s="5">
        <v>3.1040000000000001</v>
      </c>
      <c r="B140" s="5">
        <v>1.3117375040000001</v>
      </c>
    </row>
    <row r="141" spans="1:2" x14ac:dyDescent="0.45">
      <c r="A141" s="5">
        <v>3.1120000000000001</v>
      </c>
      <c r="B141" s="5">
        <v>1.307030312</v>
      </c>
    </row>
    <row r="142" spans="1:2" x14ac:dyDescent="0.45">
      <c r="A142" s="5">
        <v>3.12</v>
      </c>
      <c r="B142" s="5">
        <v>1.3023231200000001</v>
      </c>
    </row>
    <row r="143" spans="1:2" x14ac:dyDescent="0.45">
      <c r="A143" s="5">
        <v>3.1280000000000001</v>
      </c>
      <c r="B143" s="5">
        <v>1.2976159279999999</v>
      </c>
    </row>
    <row r="144" spans="1:2" x14ac:dyDescent="0.45">
      <c r="A144" s="5">
        <v>3.1360000000000001</v>
      </c>
      <c r="B144" s="5">
        <v>1.292908736</v>
      </c>
    </row>
    <row r="145" spans="1:2" x14ac:dyDescent="0.45">
      <c r="A145" s="5">
        <v>3.1440000000000001</v>
      </c>
      <c r="B145" s="5">
        <v>1.2882015440000001</v>
      </c>
    </row>
    <row r="146" spans="1:2" x14ac:dyDescent="0.45">
      <c r="A146" s="5">
        <v>3.1520000000000001</v>
      </c>
      <c r="B146" s="5">
        <v>1.2834943519999999</v>
      </c>
    </row>
    <row r="147" spans="1:2" x14ac:dyDescent="0.45">
      <c r="A147" s="5">
        <v>3.16</v>
      </c>
      <c r="B147" s="5">
        <v>1.27878716</v>
      </c>
    </row>
    <row r="148" spans="1:2" x14ac:dyDescent="0.45">
      <c r="A148" s="5">
        <v>3.1680000000000001</v>
      </c>
      <c r="B148" s="5">
        <v>1.2740799679999999</v>
      </c>
    </row>
    <row r="149" spans="1:2" x14ac:dyDescent="0.45">
      <c r="A149" s="5">
        <v>3.1760000000000002</v>
      </c>
      <c r="B149" s="5">
        <v>1.269372776</v>
      </c>
    </row>
    <row r="150" spans="1:2" x14ac:dyDescent="0.45">
      <c r="A150" s="5">
        <v>3.1840000000000002</v>
      </c>
      <c r="B150" s="5">
        <v>1.2646655840000001</v>
      </c>
    </row>
    <row r="151" spans="1:2" x14ac:dyDescent="0.45">
      <c r="A151" s="5">
        <v>3.1920000000000002</v>
      </c>
      <c r="B151" s="5">
        <v>1.2599583919999999</v>
      </c>
    </row>
    <row r="152" spans="1:2" x14ac:dyDescent="0.45">
      <c r="A152" s="5">
        <v>3.2</v>
      </c>
      <c r="B152" s="5">
        <v>1.2552512</v>
      </c>
    </row>
    <row r="153" spans="1:2" x14ac:dyDescent="0.45">
      <c r="A153" s="5">
        <v>3.2080000000000002</v>
      </c>
      <c r="B153" s="5">
        <v>1.2505440080000001</v>
      </c>
    </row>
    <row r="154" spans="1:2" x14ac:dyDescent="0.45">
      <c r="A154" s="5">
        <v>3.2160000000000002</v>
      </c>
      <c r="B154" s="5">
        <v>1.245836816</v>
      </c>
    </row>
    <row r="155" spans="1:2" x14ac:dyDescent="0.45">
      <c r="A155" s="5">
        <v>3.2240000000000002</v>
      </c>
      <c r="B155" s="5">
        <v>1.241129624</v>
      </c>
    </row>
    <row r="156" spans="1:2" x14ac:dyDescent="0.45">
      <c r="A156" s="5">
        <v>3.2320000000000002</v>
      </c>
      <c r="B156" s="5">
        <v>1.2364224319999999</v>
      </c>
    </row>
    <row r="157" spans="1:2" x14ac:dyDescent="0.45">
      <c r="A157" s="5">
        <v>3.24</v>
      </c>
      <c r="B157" s="5">
        <v>1.23171524</v>
      </c>
    </row>
    <row r="158" spans="1:2" x14ac:dyDescent="0.45">
      <c r="A158" s="5">
        <v>3.2480000000000002</v>
      </c>
      <c r="B158" s="5">
        <v>1.2270080480000001</v>
      </c>
    </row>
    <row r="159" spans="1:2" x14ac:dyDescent="0.45">
      <c r="A159" s="5">
        <v>3.2559999999999998</v>
      </c>
      <c r="B159" s="5">
        <v>1.2223008559999999</v>
      </c>
    </row>
    <row r="160" spans="1:2" x14ac:dyDescent="0.45">
      <c r="A160" s="5">
        <v>3.2639999999999998</v>
      </c>
      <c r="B160" s="5">
        <v>1.217593664</v>
      </c>
    </row>
    <row r="161" spans="1:2" x14ac:dyDescent="0.45">
      <c r="A161" s="5">
        <v>3.2719999999999998</v>
      </c>
      <c r="B161" s="5">
        <v>1.2128864720000001</v>
      </c>
    </row>
    <row r="162" spans="1:2" x14ac:dyDescent="0.45">
      <c r="A162" s="5">
        <v>3.28</v>
      </c>
      <c r="B162" s="5">
        <v>1.20817928</v>
      </c>
    </row>
    <row r="163" spans="1:2" x14ac:dyDescent="0.45">
      <c r="A163" s="5">
        <v>3.2879999999999998</v>
      </c>
      <c r="B163" s="5">
        <v>1.2034720880000001</v>
      </c>
    </row>
    <row r="164" spans="1:2" x14ac:dyDescent="0.45">
      <c r="A164" s="5">
        <v>3.2959999999999998</v>
      </c>
      <c r="B164" s="5">
        <v>1.1987648959999999</v>
      </c>
    </row>
    <row r="165" spans="1:2" x14ac:dyDescent="0.45">
      <c r="A165" s="5">
        <v>3.3039999999999998</v>
      </c>
      <c r="B165" s="5">
        <v>1.194057704</v>
      </c>
    </row>
    <row r="166" spans="1:2" x14ac:dyDescent="0.45">
      <c r="A166" s="5">
        <v>3.3119999999999998</v>
      </c>
      <c r="B166" s="5">
        <v>1.1893505120000001</v>
      </c>
    </row>
    <row r="167" spans="1:2" x14ac:dyDescent="0.45">
      <c r="A167" s="5">
        <v>3.32</v>
      </c>
      <c r="B167" s="5">
        <v>1.1846433199999999</v>
      </c>
    </row>
    <row r="168" spans="1:2" x14ac:dyDescent="0.45">
      <c r="A168" s="5">
        <v>3.3279999999999998</v>
      </c>
      <c r="B168" s="5">
        <v>1.179936128</v>
      </c>
    </row>
    <row r="169" spans="1:2" x14ac:dyDescent="0.45">
      <c r="A169" s="5">
        <v>3.3359999999999999</v>
      </c>
      <c r="B169" s="5">
        <v>1.1752289359999999</v>
      </c>
    </row>
    <row r="170" spans="1:2" x14ac:dyDescent="0.45">
      <c r="A170" s="5">
        <v>3.3439999999999999</v>
      </c>
      <c r="B170" s="5">
        <v>1.170521744</v>
      </c>
    </row>
    <row r="171" spans="1:2" x14ac:dyDescent="0.45">
      <c r="A171" s="5">
        <v>3.3519999999999999</v>
      </c>
      <c r="B171" s="5">
        <v>1.1658145520000001</v>
      </c>
    </row>
    <row r="172" spans="1:2" x14ac:dyDescent="0.45">
      <c r="A172" s="5">
        <v>3.36</v>
      </c>
      <c r="B172" s="5">
        <v>1.1611073599999999</v>
      </c>
    </row>
    <row r="173" spans="1:2" x14ac:dyDescent="0.45">
      <c r="A173" s="5">
        <v>3.3679999999999999</v>
      </c>
      <c r="B173" s="5">
        <v>1.156400168</v>
      </c>
    </row>
    <row r="174" spans="1:2" x14ac:dyDescent="0.45">
      <c r="A174" s="5">
        <v>3.3759999999999999</v>
      </c>
      <c r="B174" s="5">
        <v>1.1516929760000001</v>
      </c>
    </row>
    <row r="175" spans="1:2" x14ac:dyDescent="0.45">
      <c r="A175" s="5">
        <v>3.3839999999999999</v>
      </c>
      <c r="B175" s="5">
        <v>1.146985784</v>
      </c>
    </row>
    <row r="176" spans="1:2" x14ac:dyDescent="0.45">
      <c r="A176" s="5">
        <v>3.3919999999999999</v>
      </c>
      <c r="B176" s="5">
        <v>1.142278592</v>
      </c>
    </row>
    <row r="177" spans="1:2" x14ac:dyDescent="0.45">
      <c r="A177" s="5">
        <v>3.4</v>
      </c>
      <c r="B177" s="5">
        <v>1.1375713999999999</v>
      </c>
    </row>
    <row r="178" spans="1:2" x14ac:dyDescent="0.45">
      <c r="A178" s="5">
        <v>3.4079999999999999</v>
      </c>
      <c r="B178" s="5">
        <v>1.132864208</v>
      </c>
    </row>
    <row r="179" spans="1:2" x14ac:dyDescent="0.45">
      <c r="A179" s="5">
        <v>3.4159999999999999</v>
      </c>
      <c r="B179" s="5">
        <v>1.1281570160000001</v>
      </c>
    </row>
    <row r="180" spans="1:2" x14ac:dyDescent="0.45">
      <c r="A180" s="5">
        <v>3.4239999999999999</v>
      </c>
      <c r="B180" s="5">
        <v>1.1234498239999999</v>
      </c>
    </row>
    <row r="181" spans="1:2" x14ac:dyDescent="0.45">
      <c r="A181" s="5">
        <v>3.4319999999999999</v>
      </c>
      <c r="B181" s="5">
        <v>1.118742632</v>
      </c>
    </row>
    <row r="182" spans="1:2" x14ac:dyDescent="0.45">
      <c r="A182" s="5">
        <v>3.44</v>
      </c>
      <c r="B182" s="5">
        <v>1.1140354400000001</v>
      </c>
    </row>
    <row r="183" spans="1:2" x14ac:dyDescent="0.45">
      <c r="A183" s="5">
        <v>3.448</v>
      </c>
      <c r="B183" s="5">
        <v>1.109328248</v>
      </c>
    </row>
    <row r="184" spans="1:2" x14ac:dyDescent="0.45">
      <c r="A184" s="5">
        <v>3.456</v>
      </c>
      <c r="B184" s="5">
        <v>1.104621056</v>
      </c>
    </row>
    <row r="185" spans="1:2" x14ac:dyDescent="0.45">
      <c r="A185" s="5">
        <v>3.464</v>
      </c>
      <c r="B185" s="5">
        <v>1.0999138639999999</v>
      </c>
    </row>
    <row r="186" spans="1:2" x14ac:dyDescent="0.45">
      <c r="A186" s="5">
        <v>3.472</v>
      </c>
      <c r="B186" s="5">
        <v>1.095206672</v>
      </c>
    </row>
    <row r="187" spans="1:2" x14ac:dyDescent="0.45">
      <c r="A187" s="5">
        <v>3.48</v>
      </c>
      <c r="B187" s="5">
        <v>1.0904994800000001</v>
      </c>
    </row>
    <row r="188" spans="1:2" x14ac:dyDescent="0.45">
      <c r="A188" s="5">
        <v>3.488</v>
      </c>
      <c r="B188" s="5">
        <v>1.0857922879999999</v>
      </c>
    </row>
    <row r="189" spans="1:2" x14ac:dyDescent="0.45">
      <c r="A189" s="5">
        <v>3.496</v>
      </c>
      <c r="B189" s="5">
        <v>1.081085096</v>
      </c>
    </row>
    <row r="190" spans="1:2" x14ac:dyDescent="0.45">
      <c r="A190" s="5">
        <v>3.504</v>
      </c>
      <c r="B190" s="5">
        <v>1.0767701700000001</v>
      </c>
    </row>
    <row r="191" spans="1:2" x14ac:dyDescent="0.45">
      <c r="A191" s="5">
        <v>3.512</v>
      </c>
      <c r="B191" s="5">
        <v>1.0728475099999999</v>
      </c>
    </row>
    <row r="192" spans="1:2" x14ac:dyDescent="0.45">
      <c r="A192" s="5">
        <v>3.52</v>
      </c>
      <c r="B192" s="5">
        <v>1.0689248499999999</v>
      </c>
    </row>
    <row r="193" spans="1:2" x14ac:dyDescent="0.45">
      <c r="A193" s="5">
        <v>3.528</v>
      </c>
      <c r="B193" s="5">
        <v>1.06500219</v>
      </c>
    </row>
    <row r="194" spans="1:2" x14ac:dyDescent="0.45">
      <c r="A194" s="5">
        <v>3.536</v>
      </c>
      <c r="B194" s="5">
        <v>1.06107953</v>
      </c>
    </row>
    <row r="195" spans="1:2" x14ac:dyDescent="0.45">
      <c r="A195" s="5">
        <v>3.544</v>
      </c>
      <c r="B195" s="5">
        <v>1.05715687</v>
      </c>
    </row>
    <row r="196" spans="1:2" x14ac:dyDescent="0.45">
      <c r="A196" s="5">
        <v>3.552</v>
      </c>
      <c r="B196" s="5">
        <v>1.0532342100000001</v>
      </c>
    </row>
    <row r="197" spans="1:2" x14ac:dyDescent="0.45">
      <c r="A197" s="5">
        <v>3.56</v>
      </c>
      <c r="B197" s="5">
        <v>1.0493115500000001</v>
      </c>
    </row>
    <row r="198" spans="1:2" x14ac:dyDescent="0.45">
      <c r="A198" s="5">
        <v>3.5680000000000001</v>
      </c>
      <c r="B198" s="5">
        <v>1.0453888899999999</v>
      </c>
    </row>
    <row r="199" spans="1:2" x14ac:dyDescent="0.45">
      <c r="A199" s="5">
        <v>3.5760000000000001</v>
      </c>
      <c r="B199" s="5">
        <v>1.0414662299999999</v>
      </c>
    </row>
    <row r="200" spans="1:2" x14ac:dyDescent="0.45">
      <c r="A200" s="5">
        <v>3.5840000000000001</v>
      </c>
      <c r="B200" s="5">
        <v>1.03754357</v>
      </c>
    </row>
    <row r="201" spans="1:2" x14ac:dyDescent="0.45">
      <c r="A201" s="5">
        <v>3.5920000000000001</v>
      </c>
      <c r="B201" s="5">
        <v>1.03362091</v>
      </c>
    </row>
    <row r="202" spans="1:2" x14ac:dyDescent="0.45">
      <c r="A202" s="5">
        <v>3.6</v>
      </c>
      <c r="B202" s="5">
        <v>1.02969825</v>
      </c>
    </row>
    <row r="203" spans="1:2" x14ac:dyDescent="0.45">
      <c r="A203" s="5">
        <v>3.6080000000000001</v>
      </c>
      <c r="B203" s="5">
        <v>1.0257755900000001</v>
      </c>
    </row>
    <row r="204" spans="1:2" x14ac:dyDescent="0.45">
      <c r="A204" s="5">
        <v>3.6160000000000001</v>
      </c>
      <c r="B204" s="5">
        <v>1.0218529300000001</v>
      </c>
    </row>
    <row r="205" spans="1:2" x14ac:dyDescent="0.45">
      <c r="A205" s="5">
        <v>3.6240000000000001</v>
      </c>
      <c r="B205" s="5">
        <v>1.0179302699999999</v>
      </c>
    </row>
    <row r="206" spans="1:2" x14ac:dyDescent="0.45">
      <c r="A206" s="5">
        <v>3.6320000000000001</v>
      </c>
      <c r="B206" s="5">
        <v>1.0140076099999999</v>
      </c>
    </row>
    <row r="207" spans="1:2" x14ac:dyDescent="0.45">
      <c r="A207" s="5">
        <v>3.64</v>
      </c>
      <c r="B207" s="5">
        <v>1.01008495</v>
      </c>
    </row>
    <row r="208" spans="1:2" x14ac:dyDescent="0.45">
      <c r="A208" s="5">
        <v>3.6480000000000001</v>
      </c>
      <c r="B208" s="5">
        <v>1.00616229</v>
      </c>
    </row>
    <row r="209" spans="1:2" x14ac:dyDescent="0.45">
      <c r="A209" s="5">
        <v>3.6560000000000001</v>
      </c>
      <c r="B209" s="5">
        <v>1.00223963</v>
      </c>
    </row>
    <row r="210" spans="1:2" x14ac:dyDescent="0.45">
      <c r="A210" s="5">
        <v>3.6640000000000001</v>
      </c>
      <c r="B210" s="5">
        <v>0.99831696999999986</v>
      </c>
    </row>
    <row r="211" spans="1:2" x14ac:dyDescent="0.45">
      <c r="A211" s="5">
        <v>3.6720000000000002</v>
      </c>
      <c r="B211" s="5">
        <v>0.99439431000000011</v>
      </c>
    </row>
    <row r="212" spans="1:2" x14ac:dyDescent="0.45">
      <c r="A212" s="5">
        <v>3.68</v>
      </c>
      <c r="B212" s="5">
        <v>0.99047165000000015</v>
      </c>
    </row>
    <row r="213" spans="1:2" x14ac:dyDescent="0.45">
      <c r="A213" s="5">
        <v>3.6880000000000002</v>
      </c>
      <c r="B213" s="5">
        <v>0.98654899000000018</v>
      </c>
    </row>
    <row r="214" spans="1:2" x14ac:dyDescent="0.45">
      <c r="A214" s="5">
        <v>3.6960000000000002</v>
      </c>
      <c r="B214" s="5">
        <v>0.9826263300000001</v>
      </c>
    </row>
    <row r="215" spans="1:2" x14ac:dyDescent="0.45">
      <c r="A215" s="5">
        <v>3.7040000000000002</v>
      </c>
      <c r="B215" s="5">
        <v>0.97870367000000014</v>
      </c>
    </row>
    <row r="216" spans="1:2" x14ac:dyDescent="0.45">
      <c r="A216" s="5">
        <v>3.7120000000000002</v>
      </c>
      <c r="B216" s="5">
        <v>0.97478101000000006</v>
      </c>
    </row>
    <row r="217" spans="1:2" x14ac:dyDescent="0.45">
      <c r="A217" s="5">
        <v>3.72</v>
      </c>
      <c r="B217" s="5">
        <v>0.97085835000000009</v>
      </c>
    </row>
    <row r="218" spans="1:2" x14ac:dyDescent="0.45">
      <c r="A218" s="5">
        <v>3.7280000000000002</v>
      </c>
      <c r="B218" s="5">
        <v>0.96693569000000013</v>
      </c>
    </row>
    <row r="219" spans="1:2" x14ac:dyDescent="0.45">
      <c r="A219" s="5">
        <v>3.7360000000000002</v>
      </c>
      <c r="B219" s="5">
        <v>0.96301303000000016</v>
      </c>
    </row>
    <row r="220" spans="1:2" x14ac:dyDescent="0.45">
      <c r="A220" s="5">
        <v>3.7440000000000002</v>
      </c>
      <c r="B220" s="5">
        <v>0.95909037000000008</v>
      </c>
    </row>
    <row r="221" spans="1:2" x14ac:dyDescent="0.45">
      <c r="A221" s="5">
        <v>3.7519999999999998</v>
      </c>
      <c r="B221" s="5">
        <v>0.95516771000000011</v>
      </c>
    </row>
    <row r="222" spans="1:2" x14ac:dyDescent="0.45">
      <c r="A222" s="5">
        <v>3.76</v>
      </c>
      <c r="B222" s="5">
        <v>0.95124505000000004</v>
      </c>
    </row>
    <row r="223" spans="1:2" x14ac:dyDescent="0.45">
      <c r="A223" s="5">
        <v>3.7679999999999998</v>
      </c>
      <c r="B223" s="5">
        <v>0.94732239000000007</v>
      </c>
    </row>
    <row r="224" spans="1:2" x14ac:dyDescent="0.45">
      <c r="A224" s="5">
        <v>3.7759999999999998</v>
      </c>
      <c r="B224" s="5">
        <v>0.9433997300000001</v>
      </c>
    </row>
    <row r="225" spans="1:2" x14ac:dyDescent="0.45">
      <c r="A225" s="5">
        <v>3.7839999999999998</v>
      </c>
      <c r="B225" s="5">
        <v>0.93947707000000014</v>
      </c>
    </row>
    <row r="226" spans="1:2" x14ac:dyDescent="0.45">
      <c r="A226" s="5">
        <v>3.7919999999999998</v>
      </c>
      <c r="B226" s="5">
        <v>0.93555441000000006</v>
      </c>
    </row>
    <row r="227" spans="1:2" x14ac:dyDescent="0.45">
      <c r="A227" s="5">
        <v>3.8</v>
      </c>
      <c r="B227" s="5">
        <v>0.93163175000000009</v>
      </c>
    </row>
    <row r="228" spans="1:2" x14ac:dyDescent="0.45">
      <c r="A228" s="5">
        <v>3.8079999999999998</v>
      </c>
      <c r="B228" s="5">
        <v>0.92770909000000013</v>
      </c>
    </row>
    <row r="229" spans="1:2" x14ac:dyDescent="0.45">
      <c r="A229" s="5">
        <v>3.8159999999999998</v>
      </c>
      <c r="B229" s="5">
        <v>0.92378643000000005</v>
      </c>
    </row>
    <row r="230" spans="1:2" x14ac:dyDescent="0.45">
      <c r="A230" s="5">
        <v>3.8239999999999998</v>
      </c>
      <c r="B230" s="5">
        <v>0.91986377000000008</v>
      </c>
    </row>
    <row r="231" spans="1:2" x14ac:dyDescent="0.45">
      <c r="A231" s="5">
        <v>3.8319999999999999</v>
      </c>
      <c r="B231" s="5">
        <v>0.91594111000000011</v>
      </c>
    </row>
    <row r="232" spans="1:2" x14ac:dyDescent="0.45">
      <c r="A232" s="5">
        <v>3.84</v>
      </c>
      <c r="B232" s="5">
        <v>0.91201845000000015</v>
      </c>
    </row>
    <row r="233" spans="1:2" x14ac:dyDescent="0.45">
      <c r="A233" s="5">
        <v>3.8479999999999999</v>
      </c>
      <c r="B233" s="5">
        <v>0.90809579000000007</v>
      </c>
    </row>
    <row r="234" spans="1:2" x14ac:dyDescent="0.45">
      <c r="A234" s="5">
        <v>3.8559999999999999</v>
      </c>
      <c r="B234" s="5">
        <v>0.9041731300000001</v>
      </c>
    </row>
    <row r="235" spans="1:2" x14ac:dyDescent="0.45">
      <c r="A235" s="5">
        <v>3.8639999999999999</v>
      </c>
      <c r="B235" s="5">
        <v>0.90025047000000002</v>
      </c>
    </row>
    <row r="236" spans="1:2" x14ac:dyDescent="0.45">
      <c r="A236" s="5">
        <v>3.8719999999999999</v>
      </c>
      <c r="B236" s="5">
        <v>0.89632781000000006</v>
      </c>
    </row>
    <row r="237" spans="1:2" x14ac:dyDescent="0.45">
      <c r="A237" s="5">
        <v>3.88</v>
      </c>
      <c r="B237" s="5">
        <v>0.89240515000000009</v>
      </c>
    </row>
    <row r="238" spans="1:2" x14ac:dyDescent="0.45">
      <c r="A238" s="5">
        <v>3.8879999999999999</v>
      </c>
      <c r="B238" s="5">
        <v>0.88848249000000012</v>
      </c>
    </row>
    <row r="239" spans="1:2" x14ac:dyDescent="0.45">
      <c r="A239" s="5">
        <v>3.8959999999999999</v>
      </c>
      <c r="B239" s="5">
        <v>0.88455983000000005</v>
      </c>
    </row>
    <row r="240" spans="1:2" x14ac:dyDescent="0.45">
      <c r="A240" s="5">
        <v>3.9039999999999999</v>
      </c>
      <c r="B240" s="5">
        <v>0.88063717000000008</v>
      </c>
    </row>
    <row r="241" spans="1:2" x14ac:dyDescent="0.45">
      <c r="A241" s="5">
        <v>3.9119999999999999</v>
      </c>
      <c r="B241" s="5">
        <v>0.87671451</v>
      </c>
    </row>
    <row r="242" spans="1:2" x14ac:dyDescent="0.45">
      <c r="A242" s="5">
        <v>3.92</v>
      </c>
      <c r="B242" s="5">
        <v>0.87279185000000004</v>
      </c>
    </row>
    <row r="243" spans="1:2" x14ac:dyDescent="0.45">
      <c r="A243" s="5">
        <v>3.9279999999999999</v>
      </c>
      <c r="B243" s="5">
        <v>0.86886919000000007</v>
      </c>
    </row>
    <row r="244" spans="1:2" x14ac:dyDescent="0.45">
      <c r="A244" s="5">
        <v>3.9359999999999999</v>
      </c>
      <c r="B244" s="5">
        <v>0.8649465300000001</v>
      </c>
    </row>
    <row r="245" spans="1:2" x14ac:dyDescent="0.45">
      <c r="A245" s="5">
        <v>3.944</v>
      </c>
      <c r="B245" s="5">
        <v>0.86102387000000002</v>
      </c>
    </row>
    <row r="246" spans="1:2" x14ac:dyDescent="0.45">
      <c r="A246" s="5">
        <v>3.952</v>
      </c>
      <c r="B246" s="5">
        <v>0.85710121000000006</v>
      </c>
    </row>
    <row r="247" spans="1:2" x14ac:dyDescent="0.45">
      <c r="A247" s="5">
        <v>3.96</v>
      </c>
      <c r="B247" s="5">
        <v>0.85317854999999998</v>
      </c>
    </row>
    <row r="248" spans="1:2" x14ac:dyDescent="0.45">
      <c r="A248" s="5">
        <v>3.968</v>
      </c>
      <c r="B248" s="5">
        <v>0.84925589000000001</v>
      </c>
    </row>
    <row r="249" spans="1:2" x14ac:dyDescent="0.45">
      <c r="A249" s="5">
        <v>3.976</v>
      </c>
      <c r="B249" s="5">
        <v>0.84533323000000005</v>
      </c>
    </row>
    <row r="250" spans="1:2" x14ac:dyDescent="0.45">
      <c r="A250" s="5">
        <v>3.984</v>
      </c>
      <c r="B250" s="5">
        <v>0.84141057000000008</v>
      </c>
    </row>
    <row r="251" spans="1:2" x14ac:dyDescent="0.45">
      <c r="A251" s="5">
        <v>3.992</v>
      </c>
      <c r="B251" s="5">
        <v>0.83748791</v>
      </c>
    </row>
    <row r="252" spans="1:2" x14ac:dyDescent="0.45">
      <c r="A252" s="5">
        <v>4</v>
      </c>
      <c r="B252" s="5">
        <v>0.83356525000000004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1"/>
  <sheetViews>
    <sheetView workbookViewId="0"/>
  </sheetViews>
  <sheetFormatPr defaultRowHeight="14.25" x14ac:dyDescent="0.45"/>
  <cols>
    <col min="1" max="2" width="16.73046875" customWidth="1"/>
  </cols>
  <sheetData>
    <row r="1" spans="1:2" x14ac:dyDescent="0.45">
      <c r="A1" s="4" t="s">
        <v>35</v>
      </c>
      <c r="B1" s="4" t="s">
        <v>36</v>
      </c>
    </row>
    <row r="2" spans="1:2" x14ac:dyDescent="0.45">
      <c r="A2" s="5">
        <v>3</v>
      </c>
      <c r="B2" s="5">
        <v>2.9419949999999999</v>
      </c>
    </row>
    <row r="3" spans="1:2" x14ac:dyDescent="0.45">
      <c r="A3" s="5">
        <v>3.0150753768844218</v>
      </c>
      <c r="B3" s="5">
        <v>2.9294286896984918</v>
      </c>
    </row>
    <row r="4" spans="1:2" x14ac:dyDescent="0.45">
      <c r="A4" s="5">
        <v>3.0301507537688441</v>
      </c>
      <c r="B4" s="5">
        <v>2.916862379396985</v>
      </c>
    </row>
    <row r="5" spans="1:2" x14ac:dyDescent="0.45">
      <c r="A5" s="5">
        <v>3.045226130653266</v>
      </c>
      <c r="B5" s="5">
        <v>2.9042960690954769</v>
      </c>
    </row>
    <row r="6" spans="1:2" x14ac:dyDescent="0.45">
      <c r="A6" s="5">
        <v>3.0603015075376878</v>
      </c>
      <c r="B6" s="5">
        <v>2.8917297587939701</v>
      </c>
    </row>
    <row r="7" spans="1:2" x14ac:dyDescent="0.45">
      <c r="A7" s="5">
        <v>3.075376884422111</v>
      </c>
      <c r="B7" s="5">
        <v>2.879163448492462</v>
      </c>
    </row>
    <row r="8" spans="1:2" x14ac:dyDescent="0.45">
      <c r="A8" s="5">
        <v>3.0904522613065328</v>
      </c>
      <c r="B8" s="5">
        <v>2.8665971381909552</v>
      </c>
    </row>
    <row r="9" spans="1:2" x14ac:dyDescent="0.45">
      <c r="A9" s="5">
        <v>3.1055276381909551</v>
      </c>
      <c r="B9" s="5">
        <v>2.8540308278894471</v>
      </c>
    </row>
    <row r="10" spans="1:2" x14ac:dyDescent="0.45">
      <c r="A10" s="5">
        <v>3.120603015075377</v>
      </c>
      <c r="B10" s="5">
        <v>2.8414645175879389</v>
      </c>
    </row>
    <row r="11" spans="1:2" x14ac:dyDescent="0.45">
      <c r="A11" s="5">
        <v>3.1356783919597988</v>
      </c>
      <c r="B11" s="5">
        <v>2.8288982072864322</v>
      </c>
    </row>
    <row r="12" spans="1:2" x14ac:dyDescent="0.45">
      <c r="A12" s="5">
        <v>3.1507537688442211</v>
      </c>
      <c r="B12" s="5">
        <v>2.816331896984924</v>
      </c>
    </row>
    <row r="13" spans="1:2" x14ac:dyDescent="0.45">
      <c r="A13" s="5">
        <v>3.1658291457286429</v>
      </c>
      <c r="B13" s="5">
        <v>2.8037655866834168</v>
      </c>
    </row>
    <row r="14" spans="1:2" x14ac:dyDescent="0.45">
      <c r="A14" s="5">
        <v>3.1809045226130652</v>
      </c>
      <c r="B14" s="5">
        <v>2.79119927638191</v>
      </c>
    </row>
    <row r="15" spans="1:2" x14ac:dyDescent="0.45">
      <c r="A15" s="5">
        <v>3.195979899497488</v>
      </c>
      <c r="B15" s="5">
        <v>2.7786329660804019</v>
      </c>
    </row>
    <row r="16" spans="1:2" x14ac:dyDescent="0.45">
      <c r="A16" s="5">
        <v>3.2110552763819089</v>
      </c>
      <c r="B16" s="5">
        <v>2.7660666557788951</v>
      </c>
    </row>
    <row r="17" spans="1:2" x14ac:dyDescent="0.45">
      <c r="A17" s="5">
        <v>3.2261306532663321</v>
      </c>
      <c r="B17" s="5">
        <v>2.753500345477387</v>
      </c>
    </row>
    <row r="18" spans="1:2" x14ac:dyDescent="0.45">
      <c r="A18" s="5">
        <v>3.2412060301507539</v>
      </c>
      <c r="B18" s="5">
        <v>2.7409340351758789</v>
      </c>
    </row>
    <row r="19" spans="1:2" x14ac:dyDescent="0.45">
      <c r="A19" s="5">
        <v>3.2562814070351762</v>
      </c>
      <c r="B19" s="5">
        <v>2.7283677248743721</v>
      </c>
    </row>
    <row r="20" spans="1:2" x14ac:dyDescent="0.45">
      <c r="A20" s="5">
        <v>3.2713567839195981</v>
      </c>
      <c r="B20" s="5">
        <v>2.7158014145728639</v>
      </c>
    </row>
    <row r="21" spans="1:2" x14ac:dyDescent="0.45">
      <c r="A21" s="5">
        <v>3.2864321608040199</v>
      </c>
      <c r="B21" s="5">
        <v>2.7032351042713572</v>
      </c>
    </row>
    <row r="22" spans="1:2" x14ac:dyDescent="0.45">
      <c r="A22" s="5">
        <v>3.3015075376884422</v>
      </c>
      <c r="B22" s="5">
        <v>2.690668793969849</v>
      </c>
    </row>
    <row r="23" spans="1:2" x14ac:dyDescent="0.45">
      <c r="A23" s="5">
        <v>3.316582914572864</v>
      </c>
      <c r="B23" s="5">
        <v>2.6781024836683409</v>
      </c>
    </row>
    <row r="24" spans="1:2" x14ac:dyDescent="0.45">
      <c r="A24" s="5">
        <v>3.3316582914572859</v>
      </c>
      <c r="B24" s="5">
        <v>2.6655361733668341</v>
      </c>
    </row>
    <row r="25" spans="1:2" x14ac:dyDescent="0.45">
      <c r="A25" s="5">
        <v>3.346733668341709</v>
      </c>
      <c r="B25" s="5">
        <v>2.652969863065326</v>
      </c>
    </row>
    <row r="26" spans="1:2" x14ac:dyDescent="0.45">
      <c r="A26" s="5">
        <v>3.36180904522613</v>
      </c>
      <c r="B26" s="5">
        <v>2.6404035527638192</v>
      </c>
    </row>
    <row r="27" spans="1:2" x14ac:dyDescent="0.45">
      <c r="A27" s="5">
        <v>3.3768844221105532</v>
      </c>
      <c r="B27" s="5">
        <v>2.627837242462312</v>
      </c>
    </row>
    <row r="28" spans="1:2" x14ac:dyDescent="0.45">
      <c r="A28" s="5">
        <v>3.391959798994975</v>
      </c>
      <c r="B28" s="5">
        <v>2.6152709321608039</v>
      </c>
    </row>
    <row r="29" spans="1:2" x14ac:dyDescent="0.45">
      <c r="A29" s="5">
        <v>3.4070351758793969</v>
      </c>
      <c r="B29" s="5">
        <v>2.6027046218592971</v>
      </c>
    </row>
    <row r="30" spans="1:2" x14ac:dyDescent="0.45">
      <c r="A30" s="5">
        <v>3.4221105527638191</v>
      </c>
      <c r="B30" s="5">
        <v>2.590138311557789</v>
      </c>
    </row>
    <row r="31" spans="1:2" x14ac:dyDescent="0.45">
      <c r="A31" s="5">
        <v>3.437185929648241</v>
      </c>
      <c r="B31" s="5">
        <v>2.5775720012562808</v>
      </c>
    </row>
    <row r="32" spans="1:2" x14ac:dyDescent="0.45">
      <c r="A32" s="5">
        <v>3.4522613065326628</v>
      </c>
      <c r="B32" s="5">
        <v>2.565005690954774</v>
      </c>
    </row>
    <row r="33" spans="1:2" x14ac:dyDescent="0.45">
      <c r="A33" s="5">
        <v>3.467336683417086</v>
      </c>
      <c r="B33" s="5">
        <v>2.5524393806532659</v>
      </c>
    </row>
    <row r="34" spans="1:2" x14ac:dyDescent="0.45">
      <c r="A34" s="5">
        <v>3.482412060301507</v>
      </c>
      <c r="B34" s="5">
        <v>2.5398730703517591</v>
      </c>
    </row>
    <row r="35" spans="1:2" x14ac:dyDescent="0.45">
      <c r="A35" s="5">
        <v>3.4974874371859301</v>
      </c>
      <c r="B35" s="5">
        <v>2.527306760050251</v>
      </c>
    </row>
    <row r="36" spans="1:2" x14ac:dyDescent="0.45">
      <c r="A36" s="5">
        <v>3.512562814070352</v>
      </c>
      <c r="B36" s="5">
        <v>2.5147404497487438</v>
      </c>
    </row>
    <row r="37" spans="1:2" x14ac:dyDescent="0.45">
      <c r="A37" s="5">
        <v>3.5276381909547738</v>
      </c>
      <c r="B37" s="5">
        <v>2.5021741394472361</v>
      </c>
    </row>
    <row r="38" spans="1:2" x14ac:dyDescent="0.45">
      <c r="A38" s="5">
        <v>3.5427135678391961</v>
      </c>
      <c r="B38" s="5">
        <v>2.489607829145728</v>
      </c>
    </row>
    <row r="39" spans="1:2" x14ac:dyDescent="0.45">
      <c r="A39" s="5">
        <v>3.557788944723618</v>
      </c>
      <c r="B39" s="5">
        <v>2.4770415188442212</v>
      </c>
    </row>
    <row r="40" spans="1:2" x14ac:dyDescent="0.45">
      <c r="A40" s="5">
        <v>3.5728643216080398</v>
      </c>
      <c r="B40" s="5">
        <v>2.464475208542714</v>
      </c>
    </row>
    <row r="41" spans="1:2" x14ac:dyDescent="0.45">
      <c r="A41" s="5">
        <v>3.587939698492463</v>
      </c>
      <c r="B41" s="5">
        <v>2.4519088982412058</v>
      </c>
    </row>
    <row r="42" spans="1:2" x14ac:dyDescent="0.45">
      <c r="A42" s="5">
        <v>3.6030150753768839</v>
      </c>
      <c r="B42" s="5">
        <v>2.439342587939699</v>
      </c>
    </row>
    <row r="43" spans="1:2" x14ac:dyDescent="0.45">
      <c r="A43" s="5">
        <v>3.6180904522613071</v>
      </c>
      <c r="B43" s="5">
        <v>2.4267762776381909</v>
      </c>
    </row>
    <row r="44" spans="1:2" x14ac:dyDescent="0.45">
      <c r="A44" s="5">
        <v>3.6331658291457281</v>
      </c>
      <c r="B44" s="5">
        <v>2.4142099673366828</v>
      </c>
    </row>
    <row r="45" spans="1:2" x14ac:dyDescent="0.45">
      <c r="A45" s="5">
        <v>3.6482412060301508</v>
      </c>
      <c r="B45" s="5">
        <v>2.401643657035176</v>
      </c>
    </row>
    <row r="46" spans="1:2" x14ac:dyDescent="0.45">
      <c r="A46" s="5">
        <v>3.6633165829145731</v>
      </c>
      <c r="B46" s="5">
        <v>2.3890773467336679</v>
      </c>
    </row>
    <row r="47" spans="1:2" x14ac:dyDescent="0.45">
      <c r="A47" s="5">
        <v>3.6783919597989949</v>
      </c>
      <c r="B47" s="5">
        <v>2.3765110364321611</v>
      </c>
    </row>
    <row r="48" spans="1:2" x14ac:dyDescent="0.45">
      <c r="A48" s="5">
        <v>3.6934673366834172</v>
      </c>
      <c r="B48" s="5">
        <v>2.363944726130653</v>
      </c>
    </row>
    <row r="49" spans="1:2" x14ac:dyDescent="0.45">
      <c r="A49" s="5">
        <v>3.708542713567839</v>
      </c>
      <c r="B49" s="5">
        <v>2.3513784158291462</v>
      </c>
    </row>
    <row r="50" spans="1:2" x14ac:dyDescent="0.45">
      <c r="A50" s="5">
        <v>3.7236180904522609</v>
      </c>
      <c r="B50" s="5">
        <v>2.3388121055276381</v>
      </c>
    </row>
    <row r="51" spans="1:2" x14ac:dyDescent="0.45">
      <c r="A51" s="5">
        <v>3.7386934673366841</v>
      </c>
      <c r="B51" s="5">
        <v>2.32624579522613</v>
      </c>
    </row>
    <row r="52" spans="1:2" x14ac:dyDescent="0.45">
      <c r="A52" s="5">
        <v>3.753768844221105</v>
      </c>
      <c r="B52" s="5">
        <v>2.3136794849246232</v>
      </c>
    </row>
    <row r="53" spans="1:2" x14ac:dyDescent="0.45">
      <c r="A53" s="5">
        <v>3.7688442211055282</v>
      </c>
      <c r="B53" s="5">
        <v>2.301113174623115</v>
      </c>
    </row>
    <row r="54" spans="1:2" x14ac:dyDescent="0.45">
      <c r="A54" s="5">
        <v>3.78391959798995</v>
      </c>
      <c r="B54" s="5">
        <v>2.2885468643216078</v>
      </c>
    </row>
    <row r="55" spans="1:2" x14ac:dyDescent="0.45">
      <c r="A55" s="5">
        <v>3.7989949748743719</v>
      </c>
      <c r="B55" s="5">
        <v>2.275980554020101</v>
      </c>
    </row>
    <row r="56" spans="1:2" x14ac:dyDescent="0.45">
      <c r="A56" s="5">
        <v>3.8140703517587942</v>
      </c>
      <c r="B56" s="5">
        <v>2.2634142437185929</v>
      </c>
    </row>
    <row r="57" spans="1:2" x14ac:dyDescent="0.45">
      <c r="A57" s="5">
        <v>3.829145728643216</v>
      </c>
      <c r="B57" s="5">
        <v>2.2508479334170848</v>
      </c>
    </row>
    <row r="58" spans="1:2" x14ac:dyDescent="0.45">
      <c r="A58" s="5">
        <v>3.8442211055276378</v>
      </c>
      <c r="B58" s="5">
        <v>2.238281623115578</v>
      </c>
    </row>
    <row r="59" spans="1:2" x14ac:dyDescent="0.45">
      <c r="A59" s="5">
        <v>3.8592964824120601</v>
      </c>
      <c r="B59" s="5">
        <v>2.2257153128140699</v>
      </c>
    </row>
    <row r="60" spans="1:2" x14ac:dyDescent="0.45">
      <c r="A60" s="5">
        <v>3.874371859296482</v>
      </c>
      <c r="B60" s="5">
        <v>2.2131490025125631</v>
      </c>
    </row>
    <row r="61" spans="1:2" x14ac:dyDescent="0.45">
      <c r="A61" s="5">
        <v>3.8894472361809052</v>
      </c>
      <c r="B61" s="5">
        <v>2.200582692211055</v>
      </c>
    </row>
    <row r="62" spans="1:2" x14ac:dyDescent="0.45">
      <c r="A62" s="5">
        <v>3.904522613065327</v>
      </c>
      <c r="B62" s="5">
        <v>2.1880163819095482</v>
      </c>
    </row>
    <row r="63" spans="1:2" x14ac:dyDescent="0.45">
      <c r="A63" s="5">
        <v>3.9195979899497488</v>
      </c>
      <c r="B63" s="5">
        <v>2.17545007160804</v>
      </c>
    </row>
    <row r="64" spans="1:2" x14ac:dyDescent="0.45">
      <c r="A64" s="5">
        <v>3.9346733668341711</v>
      </c>
      <c r="B64" s="5">
        <v>2.1628837613065328</v>
      </c>
    </row>
    <row r="65" spans="1:2" x14ac:dyDescent="0.45">
      <c r="A65" s="5">
        <v>3.949748743718593</v>
      </c>
      <c r="B65" s="5">
        <v>2.1503174510050251</v>
      </c>
    </row>
    <row r="66" spans="1:2" x14ac:dyDescent="0.45">
      <c r="A66" s="5">
        <v>3.9648241206030148</v>
      </c>
      <c r="B66" s="5">
        <v>2.1377511407035179</v>
      </c>
    </row>
    <row r="67" spans="1:2" x14ac:dyDescent="0.45">
      <c r="A67" s="5">
        <v>3.9798994974874371</v>
      </c>
      <c r="B67" s="5">
        <v>2.1251848304020098</v>
      </c>
    </row>
    <row r="68" spans="1:2" x14ac:dyDescent="0.45">
      <c r="A68" s="5">
        <v>3.9949748743718589</v>
      </c>
      <c r="B68" s="5">
        <v>2.112618520100503</v>
      </c>
    </row>
    <row r="69" spans="1:2" x14ac:dyDescent="0.45">
      <c r="A69" s="5">
        <v>4.0100502512562812</v>
      </c>
      <c r="B69" s="5">
        <v>2.1020233957286432</v>
      </c>
    </row>
    <row r="70" spans="1:2" x14ac:dyDescent="0.45">
      <c r="A70" s="5">
        <v>4.0251256281407031</v>
      </c>
      <c r="B70" s="5">
        <v>2.0924138643216081</v>
      </c>
    </row>
    <row r="71" spans="1:2" x14ac:dyDescent="0.45">
      <c r="A71" s="5">
        <v>4.0402010050251258</v>
      </c>
      <c r="B71" s="5">
        <v>2.0828043329145731</v>
      </c>
    </row>
    <row r="72" spans="1:2" x14ac:dyDescent="0.45">
      <c r="A72" s="5">
        <v>4.0552763819095476</v>
      </c>
      <c r="B72" s="5">
        <v>2.0731948015075381</v>
      </c>
    </row>
    <row r="73" spans="1:2" x14ac:dyDescent="0.45">
      <c r="A73" s="5">
        <v>4.0703517587939686</v>
      </c>
      <c r="B73" s="5">
        <v>2.0635852701005031</v>
      </c>
    </row>
    <row r="74" spans="1:2" x14ac:dyDescent="0.45">
      <c r="A74" s="5">
        <v>4.0854271356783922</v>
      </c>
      <c r="B74" s="5">
        <v>2.0539757386934672</v>
      </c>
    </row>
    <row r="75" spans="1:2" x14ac:dyDescent="0.45">
      <c r="A75" s="5">
        <v>4.1005025125628141</v>
      </c>
      <c r="B75" s="5">
        <v>2.0443662072864321</v>
      </c>
    </row>
    <row r="76" spans="1:2" x14ac:dyDescent="0.45">
      <c r="A76" s="5">
        <v>4.1155778894472359</v>
      </c>
      <c r="B76" s="5">
        <v>2.0347566758793971</v>
      </c>
    </row>
    <row r="77" spans="1:2" x14ac:dyDescent="0.45">
      <c r="A77" s="5">
        <v>4.1306532663316577</v>
      </c>
      <c r="B77" s="5">
        <v>2.0251471444723621</v>
      </c>
    </row>
    <row r="78" spans="1:2" x14ac:dyDescent="0.45">
      <c r="A78" s="5">
        <v>4.1457286432160796</v>
      </c>
      <c r="B78" s="5">
        <v>2.0155376130653271</v>
      </c>
    </row>
    <row r="79" spans="1:2" x14ac:dyDescent="0.45">
      <c r="A79" s="5">
        <v>4.1608040201005023</v>
      </c>
      <c r="B79" s="5">
        <v>2.0059280816582921</v>
      </c>
    </row>
    <row r="80" spans="1:2" x14ac:dyDescent="0.45">
      <c r="A80" s="5">
        <v>4.1758793969849251</v>
      </c>
      <c r="B80" s="5">
        <v>1.9963185502512559</v>
      </c>
    </row>
    <row r="81" spans="1:2" x14ac:dyDescent="0.45">
      <c r="A81" s="5">
        <v>4.1909547738693469</v>
      </c>
      <c r="B81" s="5">
        <v>1.9867090188442209</v>
      </c>
    </row>
    <row r="82" spans="1:2" x14ac:dyDescent="0.45">
      <c r="A82" s="5">
        <v>4.2060301507537687</v>
      </c>
      <c r="B82" s="5">
        <v>1.9770994874371861</v>
      </c>
    </row>
    <row r="83" spans="1:2" x14ac:dyDescent="0.45">
      <c r="A83" s="5">
        <v>4.2211055276381906</v>
      </c>
      <c r="B83" s="5">
        <v>1.9674899560301511</v>
      </c>
    </row>
    <row r="84" spans="1:2" x14ac:dyDescent="0.45">
      <c r="A84" s="5">
        <v>4.2361809045226133</v>
      </c>
      <c r="B84" s="5">
        <v>1.957880424623115</v>
      </c>
    </row>
    <row r="85" spans="1:2" x14ac:dyDescent="0.45">
      <c r="A85" s="5">
        <v>4.2512562814070352</v>
      </c>
      <c r="B85" s="5">
        <v>1.9482708932160799</v>
      </c>
    </row>
    <row r="86" spans="1:2" x14ac:dyDescent="0.45">
      <c r="A86" s="5">
        <v>4.266331658291457</v>
      </c>
      <c r="B86" s="5">
        <v>1.9386613618090449</v>
      </c>
    </row>
    <row r="87" spans="1:2" x14ac:dyDescent="0.45">
      <c r="A87" s="5">
        <v>4.2814070351758797</v>
      </c>
      <c r="B87" s="5">
        <v>1.9290518304020099</v>
      </c>
    </row>
    <row r="88" spans="1:2" x14ac:dyDescent="0.45">
      <c r="A88" s="5">
        <v>4.2964824120603016</v>
      </c>
      <c r="B88" s="5">
        <v>1.9194422989949751</v>
      </c>
    </row>
    <row r="89" spans="1:2" x14ac:dyDescent="0.45">
      <c r="A89" s="5">
        <v>4.3115577889447234</v>
      </c>
      <c r="B89" s="5">
        <v>1.9098327675879401</v>
      </c>
    </row>
    <row r="90" spans="1:2" x14ac:dyDescent="0.45">
      <c r="A90" s="5">
        <v>4.3266331658291453</v>
      </c>
      <c r="B90" s="5">
        <v>1.9002232361809051</v>
      </c>
    </row>
    <row r="91" spans="1:2" x14ac:dyDescent="0.45">
      <c r="A91" s="5">
        <v>4.341708542713568</v>
      </c>
      <c r="B91" s="5">
        <v>1.8906137047738689</v>
      </c>
    </row>
    <row r="92" spans="1:2" x14ac:dyDescent="0.45">
      <c r="A92" s="5">
        <v>4.3567839195979898</v>
      </c>
      <c r="B92" s="5">
        <v>1.8810041733668339</v>
      </c>
    </row>
    <row r="93" spans="1:2" x14ac:dyDescent="0.45">
      <c r="A93" s="5">
        <v>4.3718592964824117</v>
      </c>
      <c r="B93" s="5">
        <v>1.8713946419597991</v>
      </c>
    </row>
    <row r="94" spans="1:2" x14ac:dyDescent="0.45">
      <c r="A94" s="5">
        <v>4.3869346733668344</v>
      </c>
      <c r="B94" s="5">
        <v>1.8617851105527641</v>
      </c>
    </row>
    <row r="95" spans="1:2" x14ac:dyDescent="0.45">
      <c r="A95" s="5">
        <v>4.4020100502512562</v>
      </c>
      <c r="B95" s="5">
        <v>1.8521755791457291</v>
      </c>
    </row>
    <row r="96" spans="1:2" x14ac:dyDescent="0.45">
      <c r="A96" s="5">
        <v>4.4170854271356781</v>
      </c>
      <c r="B96" s="5">
        <v>1.842566047738694</v>
      </c>
    </row>
    <row r="97" spans="1:2" x14ac:dyDescent="0.45">
      <c r="A97" s="5">
        <v>4.4321608040200999</v>
      </c>
      <c r="B97" s="5">
        <v>1.832956516331659</v>
      </c>
    </row>
    <row r="98" spans="1:2" x14ac:dyDescent="0.45">
      <c r="A98" s="5">
        <v>4.4472361809045227</v>
      </c>
      <c r="B98" s="5">
        <v>1.8233469849246231</v>
      </c>
    </row>
    <row r="99" spans="1:2" x14ac:dyDescent="0.45">
      <c r="A99" s="5">
        <v>4.4623115577889454</v>
      </c>
      <c r="B99" s="5">
        <v>1.8137374535175881</v>
      </c>
    </row>
    <row r="100" spans="1:2" x14ac:dyDescent="0.45">
      <c r="A100" s="5">
        <v>4.4773869346733672</v>
      </c>
      <c r="B100" s="5">
        <v>1.8041279221105531</v>
      </c>
    </row>
    <row r="101" spans="1:2" x14ac:dyDescent="0.45">
      <c r="A101" s="5">
        <v>4.4924623115577891</v>
      </c>
      <c r="B101" s="5">
        <v>1.794518390703518</v>
      </c>
    </row>
    <row r="102" spans="1:2" x14ac:dyDescent="0.45">
      <c r="A102" s="5">
        <v>4.5075376884422109</v>
      </c>
      <c r="B102" s="5">
        <v>1.784908859296483</v>
      </c>
    </row>
    <row r="103" spans="1:2" x14ac:dyDescent="0.45">
      <c r="A103" s="5">
        <v>4.5226130653266328</v>
      </c>
      <c r="B103" s="5">
        <v>1.775299327889448</v>
      </c>
    </row>
    <row r="104" spans="1:2" x14ac:dyDescent="0.45">
      <c r="A104" s="5">
        <v>4.5376884422110546</v>
      </c>
      <c r="B104" s="5">
        <v>1.7656897964824121</v>
      </c>
    </row>
    <row r="105" spans="1:2" x14ac:dyDescent="0.45">
      <c r="A105" s="5">
        <v>4.5527638190954773</v>
      </c>
      <c r="B105" s="5">
        <v>1.7560802650753771</v>
      </c>
    </row>
    <row r="106" spans="1:2" x14ac:dyDescent="0.45">
      <c r="A106" s="5">
        <v>4.5678391959798992</v>
      </c>
      <c r="B106" s="5">
        <v>1.746470733668342</v>
      </c>
    </row>
    <row r="107" spans="1:2" x14ac:dyDescent="0.45">
      <c r="A107" s="5">
        <v>4.5829145728643219</v>
      </c>
      <c r="B107" s="5">
        <v>1.7368612022613059</v>
      </c>
    </row>
    <row r="108" spans="1:2" x14ac:dyDescent="0.45">
      <c r="A108" s="5">
        <v>4.5979899497487438</v>
      </c>
      <c r="B108" s="5">
        <v>1.7272516708542709</v>
      </c>
    </row>
    <row r="109" spans="1:2" x14ac:dyDescent="0.45">
      <c r="A109" s="5">
        <v>4.6130653266331656</v>
      </c>
      <c r="B109" s="5">
        <v>1.7176421394472361</v>
      </c>
    </row>
    <row r="110" spans="1:2" x14ac:dyDescent="0.45">
      <c r="A110" s="5">
        <v>4.6281407035175874</v>
      </c>
      <c r="B110" s="5">
        <v>1.7080326080402011</v>
      </c>
    </row>
    <row r="111" spans="1:2" x14ac:dyDescent="0.45">
      <c r="A111" s="5">
        <v>4.6432160804020102</v>
      </c>
      <c r="B111" s="5">
        <v>1.6984230766331661</v>
      </c>
    </row>
    <row r="112" spans="1:2" x14ac:dyDescent="0.45">
      <c r="A112" s="5">
        <v>4.658291457286432</v>
      </c>
      <c r="B112" s="5">
        <v>1.688813545226131</v>
      </c>
    </row>
    <row r="113" spans="1:2" x14ac:dyDescent="0.45">
      <c r="A113" s="5">
        <v>4.6733668341708547</v>
      </c>
      <c r="B113" s="5">
        <v>1.6792040138190949</v>
      </c>
    </row>
    <row r="114" spans="1:2" x14ac:dyDescent="0.45">
      <c r="A114" s="5">
        <v>4.6884422110552766</v>
      </c>
      <c r="B114" s="5">
        <v>1.6695944824120601</v>
      </c>
    </row>
    <row r="115" spans="1:2" x14ac:dyDescent="0.45">
      <c r="A115" s="5">
        <v>4.7035175879396984</v>
      </c>
      <c r="B115" s="5">
        <v>1.6599849510050251</v>
      </c>
    </row>
    <row r="116" spans="1:2" x14ac:dyDescent="0.45">
      <c r="A116" s="5">
        <v>4.7185929648241203</v>
      </c>
      <c r="B116" s="5">
        <v>1.6503754195979901</v>
      </c>
    </row>
    <row r="117" spans="1:2" x14ac:dyDescent="0.45">
      <c r="A117" s="5">
        <v>4.7336683417085421</v>
      </c>
      <c r="B117" s="5">
        <v>1.640765888190955</v>
      </c>
    </row>
    <row r="118" spans="1:2" x14ac:dyDescent="0.45">
      <c r="A118" s="5">
        <v>4.7487437185929648</v>
      </c>
      <c r="B118" s="5">
        <v>1.63115635678392</v>
      </c>
    </row>
    <row r="119" spans="1:2" x14ac:dyDescent="0.45">
      <c r="A119" s="5">
        <v>4.7638190954773867</v>
      </c>
      <c r="B119" s="5">
        <v>1.621546825376885</v>
      </c>
    </row>
    <row r="120" spans="1:2" x14ac:dyDescent="0.45">
      <c r="A120" s="5">
        <v>4.7788944723618094</v>
      </c>
      <c r="B120" s="5">
        <v>1.6119372939698491</v>
      </c>
    </row>
    <row r="121" spans="1:2" x14ac:dyDescent="0.45">
      <c r="A121" s="5">
        <v>4.7939698492462313</v>
      </c>
      <c r="B121" s="5">
        <v>1.6023277625628141</v>
      </c>
    </row>
    <row r="122" spans="1:2" x14ac:dyDescent="0.45">
      <c r="A122" s="5">
        <v>4.8090452261306531</v>
      </c>
      <c r="B122" s="5">
        <v>1.592718231155779</v>
      </c>
    </row>
    <row r="123" spans="1:2" x14ac:dyDescent="0.45">
      <c r="A123" s="5">
        <v>4.8241206030150749</v>
      </c>
      <c r="B123" s="5">
        <v>1.583108699748744</v>
      </c>
    </row>
    <row r="124" spans="1:2" x14ac:dyDescent="0.45">
      <c r="A124" s="5">
        <v>4.8391959798994977</v>
      </c>
      <c r="B124" s="5">
        <v>1.5734991683417081</v>
      </c>
    </row>
    <row r="125" spans="1:2" x14ac:dyDescent="0.45">
      <c r="A125" s="5">
        <v>4.8542713567839204</v>
      </c>
      <c r="B125" s="5">
        <v>1.563889636934674</v>
      </c>
    </row>
    <row r="126" spans="1:2" x14ac:dyDescent="0.45">
      <c r="A126" s="5">
        <v>4.8693467336683414</v>
      </c>
      <c r="B126" s="5">
        <v>1.554280105527639</v>
      </c>
    </row>
    <row r="127" spans="1:2" x14ac:dyDescent="0.45">
      <c r="A127" s="5">
        <v>4.8844221105527641</v>
      </c>
      <c r="B127" s="5">
        <v>1.544670574120603</v>
      </c>
    </row>
    <row r="128" spans="1:2" x14ac:dyDescent="0.45">
      <c r="A128" s="5">
        <v>4.8994974874371859</v>
      </c>
      <c r="B128" s="5">
        <v>1.535061042713568</v>
      </c>
    </row>
    <row r="129" spans="1:2" x14ac:dyDescent="0.45">
      <c r="A129" s="5">
        <v>4.9145728643216078</v>
      </c>
      <c r="B129" s="5">
        <v>1.525451511306533</v>
      </c>
    </row>
    <row r="130" spans="1:2" x14ac:dyDescent="0.45">
      <c r="A130" s="5">
        <v>4.9296482412060296</v>
      </c>
      <c r="B130" s="5">
        <v>1.515841979899498</v>
      </c>
    </row>
    <row r="131" spans="1:2" x14ac:dyDescent="0.45">
      <c r="A131" s="5">
        <v>4.9447236180904524</v>
      </c>
      <c r="B131" s="5">
        <v>1.5062324484924621</v>
      </c>
    </row>
    <row r="132" spans="1:2" x14ac:dyDescent="0.45">
      <c r="A132" s="5">
        <v>4.9597989949748742</v>
      </c>
      <c r="B132" s="5">
        <v>1.4966229170854271</v>
      </c>
    </row>
    <row r="133" spans="1:2" x14ac:dyDescent="0.45">
      <c r="A133" s="5">
        <v>4.9748743718592969</v>
      </c>
      <c r="B133" s="5">
        <v>1.487013385678392</v>
      </c>
    </row>
    <row r="134" spans="1:2" x14ac:dyDescent="0.45">
      <c r="A134" s="5">
        <v>4.9899497487437188</v>
      </c>
      <c r="B134" s="5">
        <v>1.477403854271357</v>
      </c>
    </row>
    <row r="135" spans="1:2" x14ac:dyDescent="0.45">
      <c r="A135" s="5">
        <v>5.0050251256281406</v>
      </c>
      <c r="B135" s="5">
        <v>1.467547924623116</v>
      </c>
    </row>
    <row r="136" spans="1:2" x14ac:dyDescent="0.45">
      <c r="A136" s="5">
        <v>5.0201005025125616</v>
      </c>
      <c r="B136" s="5">
        <v>1.457199198492463</v>
      </c>
    </row>
    <row r="137" spans="1:2" x14ac:dyDescent="0.45">
      <c r="A137" s="5">
        <v>5.0351758793969843</v>
      </c>
      <c r="B137" s="5">
        <v>1.446850472361809</v>
      </c>
    </row>
    <row r="138" spans="1:2" x14ac:dyDescent="0.45">
      <c r="A138" s="5">
        <v>5.050251256281407</v>
      </c>
      <c r="B138" s="5">
        <v>1.436501746231156</v>
      </c>
    </row>
    <row r="139" spans="1:2" x14ac:dyDescent="0.45">
      <c r="A139" s="5">
        <v>5.0653266331658289</v>
      </c>
      <c r="B139" s="5">
        <v>1.426153020100503</v>
      </c>
    </row>
    <row r="140" spans="1:2" x14ac:dyDescent="0.45">
      <c r="A140" s="5">
        <v>5.0804020100502516</v>
      </c>
      <c r="B140" s="5">
        <v>1.415804293969849</v>
      </c>
    </row>
    <row r="141" spans="1:2" x14ac:dyDescent="0.45">
      <c r="A141" s="5">
        <v>5.0954773869346726</v>
      </c>
      <c r="B141" s="5">
        <v>1.405455567839196</v>
      </c>
    </row>
    <row r="142" spans="1:2" x14ac:dyDescent="0.45">
      <c r="A142" s="5">
        <v>5.1105527638190953</v>
      </c>
      <c r="B142" s="5">
        <v>1.395106841708543</v>
      </c>
    </row>
    <row r="143" spans="1:2" x14ac:dyDescent="0.45">
      <c r="A143" s="5">
        <v>5.1256281407035171</v>
      </c>
      <c r="B143" s="5">
        <v>1.3847581155778901</v>
      </c>
    </row>
    <row r="144" spans="1:2" x14ac:dyDescent="0.45">
      <c r="A144" s="5">
        <v>5.140703517587939</v>
      </c>
      <c r="B144" s="5">
        <v>1.3744093894472369</v>
      </c>
    </row>
    <row r="145" spans="1:2" x14ac:dyDescent="0.45">
      <c r="A145" s="5">
        <v>5.1557788944723617</v>
      </c>
      <c r="B145" s="5">
        <v>1.364060663316583</v>
      </c>
    </row>
    <row r="146" spans="1:2" x14ac:dyDescent="0.45">
      <c r="A146" s="5">
        <v>5.1708542713567844</v>
      </c>
      <c r="B146" s="5">
        <v>1.353711937185929</v>
      </c>
    </row>
    <row r="147" spans="1:2" x14ac:dyDescent="0.45">
      <c r="A147" s="5">
        <v>5.1859296482412063</v>
      </c>
      <c r="B147" s="5">
        <v>1.343363211055276</v>
      </c>
    </row>
    <row r="148" spans="1:2" x14ac:dyDescent="0.45">
      <c r="A148" s="5">
        <v>5.2010050251256281</v>
      </c>
      <c r="B148" s="5">
        <v>1.333014484924623</v>
      </c>
    </row>
    <row r="149" spans="1:2" x14ac:dyDescent="0.45">
      <c r="A149" s="5">
        <v>5.21608040201005</v>
      </c>
      <c r="B149" s="5">
        <v>1.3226657587939701</v>
      </c>
    </row>
    <row r="150" spans="1:2" x14ac:dyDescent="0.45">
      <c r="A150" s="5">
        <v>5.2311557788944718</v>
      </c>
      <c r="B150" s="5">
        <v>1.3123170326633169</v>
      </c>
    </row>
    <row r="151" spans="1:2" x14ac:dyDescent="0.45">
      <c r="A151" s="5">
        <v>5.2462311557788954</v>
      </c>
      <c r="B151" s="5">
        <v>1.301968306532663</v>
      </c>
    </row>
    <row r="152" spans="1:2" x14ac:dyDescent="0.45">
      <c r="A152" s="5">
        <v>5.2613065326633164</v>
      </c>
      <c r="B152" s="5">
        <v>1.2916195804020101</v>
      </c>
    </row>
    <row r="153" spans="1:2" x14ac:dyDescent="0.45">
      <c r="A153" s="5">
        <v>5.2763819095477391</v>
      </c>
      <c r="B153" s="5">
        <v>1.281270854271356</v>
      </c>
    </row>
    <row r="154" spans="1:2" x14ac:dyDescent="0.45">
      <c r="A154" s="5">
        <v>5.291457286432161</v>
      </c>
      <c r="B154" s="5">
        <v>1.270922128140703</v>
      </c>
    </row>
    <row r="155" spans="1:2" x14ac:dyDescent="0.45">
      <c r="A155" s="5">
        <v>5.3065326633165828</v>
      </c>
      <c r="B155" s="5">
        <v>1.2605734020100501</v>
      </c>
    </row>
    <row r="156" spans="1:2" x14ac:dyDescent="0.45">
      <c r="A156" s="5">
        <v>5.3216080402010046</v>
      </c>
      <c r="B156" s="5">
        <v>1.2502246758793969</v>
      </c>
    </row>
    <row r="157" spans="1:2" x14ac:dyDescent="0.45">
      <c r="A157" s="5">
        <v>5.3366834170854256</v>
      </c>
      <c r="B157" s="5">
        <v>1.2398759497487439</v>
      </c>
    </row>
    <row r="158" spans="1:2" x14ac:dyDescent="0.45">
      <c r="A158" s="5">
        <v>5.3517587939698492</v>
      </c>
      <c r="B158" s="5">
        <v>1.229527223618091</v>
      </c>
    </row>
    <row r="159" spans="1:2" x14ac:dyDescent="0.45">
      <c r="A159" s="5">
        <v>5.3668341708542711</v>
      </c>
      <c r="B159" s="5">
        <v>1.2191784974874369</v>
      </c>
    </row>
    <row r="160" spans="1:2" x14ac:dyDescent="0.45">
      <c r="A160" s="5">
        <v>5.3819095477386938</v>
      </c>
      <c r="B160" s="5">
        <v>1.2088297713567839</v>
      </c>
    </row>
    <row r="161" spans="1:2" x14ac:dyDescent="0.45">
      <c r="A161" s="5">
        <v>5.3969849246231156</v>
      </c>
      <c r="B161" s="5">
        <v>1.198481045226131</v>
      </c>
    </row>
    <row r="162" spans="1:2" x14ac:dyDescent="0.45">
      <c r="A162" s="5">
        <v>5.4120603015075366</v>
      </c>
      <c r="B162" s="5">
        <v>1.188132319095478</v>
      </c>
    </row>
    <row r="163" spans="1:2" x14ac:dyDescent="0.45">
      <c r="A163" s="5">
        <v>5.4271356783919593</v>
      </c>
      <c r="B163" s="5">
        <v>1.1777835929648239</v>
      </c>
    </row>
    <row r="164" spans="1:2" x14ac:dyDescent="0.45">
      <c r="A164" s="5">
        <v>5.4422110552763812</v>
      </c>
      <c r="B164" s="5">
        <v>1.167434866834171</v>
      </c>
    </row>
    <row r="165" spans="1:2" x14ac:dyDescent="0.45">
      <c r="A165" s="5">
        <v>5.4572864321608039</v>
      </c>
      <c r="B165" s="5">
        <v>1.157086140703518</v>
      </c>
    </row>
    <row r="166" spans="1:2" x14ac:dyDescent="0.45">
      <c r="A166" s="5">
        <v>5.4723618090452266</v>
      </c>
      <c r="B166" s="5">
        <v>1.1467374145728639</v>
      </c>
    </row>
    <row r="167" spans="1:2" x14ac:dyDescent="0.45">
      <c r="A167" s="5">
        <v>5.4874371859296476</v>
      </c>
      <c r="B167" s="5">
        <v>1.136388688442211</v>
      </c>
    </row>
    <row r="168" spans="1:2" x14ac:dyDescent="0.45">
      <c r="A168" s="5">
        <v>5.5025125628140703</v>
      </c>
      <c r="B168" s="5">
        <v>1.126039962311558</v>
      </c>
    </row>
    <row r="169" spans="1:2" x14ac:dyDescent="0.45">
      <c r="A169" s="5">
        <v>5.5175879396984921</v>
      </c>
      <c r="B169" s="5">
        <v>1.115691236180905</v>
      </c>
    </row>
    <row r="170" spans="1:2" x14ac:dyDescent="0.45">
      <c r="A170" s="5">
        <v>5.532663316582914</v>
      </c>
      <c r="B170" s="5">
        <v>1.1053425100502521</v>
      </c>
    </row>
    <row r="171" spans="1:2" x14ac:dyDescent="0.45">
      <c r="A171" s="5">
        <v>5.5477386934673367</v>
      </c>
      <c r="B171" s="5">
        <v>1.094993783919598</v>
      </c>
    </row>
    <row r="172" spans="1:2" x14ac:dyDescent="0.45">
      <c r="A172" s="5">
        <v>5.5628140703517586</v>
      </c>
      <c r="B172" s="5">
        <v>1.084645057788945</v>
      </c>
    </row>
    <row r="173" spans="1:2" x14ac:dyDescent="0.45">
      <c r="A173" s="5">
        <v>5.5778894472361813</v>
      </c>
      <c r="B173" s="5">
        <v>1.074296331658291</v>
      </c>
    </row>
    <row r="174" spans="1:2" x14ac:dyDescent="0.45">
      <c r="A174" s="5">
        <v>5.5929648241206031</v>
      </c>
      <c r="B174" s="5">
        <v>1.063947605527638</v>
      </c>
    </row>
    <row r="175" spans="1:2" x14ac:dyDescent="0.45">
      <c r="A175" s="5">
        <v>5.608040201005025</v>
      </c>
      <c r="B175" s="5">
        <v>1.053598879396985</v>
      </c>
    </row>
    <row r="176" spans="1:2" x14ac:dyDescent="0.45">
      <c r="A176" s="5">
        <v>5.6231155778894468</v>
      </c>
      <c r="B176" s="5">
        <v>1.0432501532663321</v>
      </c>
    </row>
    <row r="177" spans="1:2" x14ac:dyDescent="0.45">
      <c r="A177" s="5">
        <v>5.6381909547738687</v>
      </c>
      <c r="B177" s="5">
        <v>1.0329014271356789</v>
      </c>
    </row>
    <row r="178" spans="1:2" x14ac:dyDescent="0.45">
      <c r="A178" s="5">
        <v>5.6532663316582914</v>
      </c>
      <c r="B178" s="5">
        <v>1.022552701005025</v>
      </c>
    </row>
    <row r="179" spans="1:2" x14ac:dyDescent="0.45">
      <c r="A179" s="5">
        <v>5.6683417085427132</v>
      </c>
      <c r="B179" s="5">
        <v>1.0122039748743721</v>
      </c>
    </row>
    <row r="180" spans="1:2" x14ac:dyDescent="0.45">
      <c r="A180" s="5">
        <v>5.683417085427136</v>
      </c>
      <c r="B180" s="5">
        <v>1.001855248743718</v>
      </c>
    </row>
    <row r="181" spans="1:2" x14ac:dyDescent="0.45">
      <c r="A181" s="5">
        <v>5.6984924623115578</v>
      </c>
      <c r="B181" s="5">
        <v>0.99150652261306527</v>
      </c>
    </row>
    <row r="182" spans="1:2" x14ac:dyDescent="0.45">
      <c r="A182" s="5">
        <v>5.7135678391959797</v>
      </c>
      <c r="B182" s="5">
        <v>0.98115779648241219</v>
      </c>
    </row>
    <row r="183" spans="1:2" x14ac:dyDescent="0.45">
      <c r="A183" s="5">
        <v>5.7286432160804024</v>
      </c>
      <c r="B183" s="5">
        <v>0.97080907035175912</v>
      </c>
    </row>
    <row r="184" spans="1:2" x14ac:dyDescent="0.45">
      <c r="A184" s="5">
        <v>5.7437185929648233</v>
      </c>
      <c r="B184" s="5">
        <v>0.96046034422110604</v>
      </c>
    </row>
    <row r="185" spans="1:2" x14ac:dyDescent="0.45">
      <c r="A185" s="5">
        <v>5.7587939698492461</v>
      </c>
      <c r="B185" s="5">
        <v>0.95011161809045241</v>
      </c>
    </row>
    <row r="186" spans="1:2" x14ac:dyDescent="0.45">
      <c r="A186" s="5">
        <v>5.7738693467336688</v>
      </c>
      <c r="B186" s="5">
        <v>0.93976289195979867</v>
      </c>
    </row>
    <row r="187" spans="1:2" x14ac:dyDescent="0.45">
      <c r="A187" s="5">
        <v>5.7889447236180906</v>
      </c>
      <c r="B187" s="5">
        <v>0.9294141658291456</v>
      </c>
    </row>
    <row r="188" spans="1:2" x14ac:dyDescent="0.45">
      <c r="A188" s="5">
        <v>5.8040201005025116</v>
      </c>
      <c r="B188" s="5">
        <v>0.91906543969849253</v>
      </c>
    </row>
    <row r="189" spans="1:2" x14ac:dyDescent="0.45">
      <c r="A189" s="5">
        <v>5.8190954773869343</v>
      </c>
      <c r="B189" s="5">
        <v>0.90871671356783945</v>
      </c>
    </row>
    <row r="190" spans="1:2" x14ac:dyDescent="0.45">
      <c r="A190" s="5">
        <v>5.8341708542713562</v>
      </c>
      <c r="B190" s="5">
        <v>0.89836798743718638</v>
      </c>
    </row>
    <row r="191" spans="1:2" x14ac:dyDescent="0.45">
      <c r="A191" s="5">
        <v>5.8492462311557789</v>
      </c>
      <c r="B191" s="5">
        <v>0.88801926130653264</v>
      </c>
    </row>
    <row r="192" spans="1:2" x14ac:dyDescent="0.45">
      <c r="A192" s="5">
        <v>5.8643216080402008</v>
      </c>
      <c r="B192" s="5">
        <v>0.87767053517587956</v>
      </c>
    </row>
    <row r="193" spans="1:2" x14ac:dyDescent="0.45">
      <c r="A193" s="5">
        <v>5.8793969849246226</v>
      </c>
      <c r="B193" s="5">
        <v>0.86732180904522593</v>
      </c>
    </row>
    <row r="194" spans="1:2" x14ac:dyDescent="0.45">
      <c r="A194" s="5">
        <v>5.8944723618090453</v>
      </c>
      <c r="B194" s="5">
        <v>0.85697308291457275</v>
      </c>
    </row>
    <row r="195" spans="1:2" x14ac:dyDescent="0.45">
      <c r="A195" s="5">
        <v>5.9095477386934672</v>
      </c>
      <c r="B195" s="5">
        <v>0.84662435678391967</v>
      </c>
    </row>
    <row r="196" spans="1:2" x14ac:dyDescent="0.45">
      <c r="A196" s="5">
        <v>5.924623115577889</v>
      </c>
      <c r="B196" s="5">
        <v>0.8362756306532666</v>
      </c>
    </row>
    <row r="197" spans="1:2" x14ac:dyDescent="0.45">
      <c r="A197" s="5">
        <v>5.9396984924623109</v>
      </c>
      <c r="B197" s="5">
        <v>0.82592690452261353</v>
      </c>
    </row>
    <row r="198" spans="1:2" x14ac:dyDescent="0.45">
      <c r="A198" s="5">
        <v>5.9547738693467336</v>
      </c>
      <c r="B198" s="5">
        <v>0.8155781783919599</v>
      </c>
    </row>
    <row r="199" spans="1:2" x14ac:dyDescent="0.45">
      <c r="A199" s="5">
        <v>5.9698492462311563</v>
      </c>
      <c r="B199" s="5">
        <v>0.80522945226130616</v>
      </c>
    </row>
    <row r="200" spans="1:2" x14ac:dyDescent="0.45">
      <c r="A200" s="5">
        <v>5.9849246231155782</v>
      </c>
      <c r="B200" s="5">
        <v>0.79488072613065308</v>
      </c>
    </row>
    <row r="201" spans="1:2" x14ac:dyDescent="0.45">
      <c r="A201" s="5">
        <v>6</v>
      </c>
      <c r="B201" s="5">
        <v>0.78453200000000001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Calculator</vt:lpstr>
      <vt:lpstr>SelectedCurve</vt:lpstr>
      <vt:lpstr>KL60_Fit_Curve</vt:lpstr>
      <vt:lpstr>KL60_Anchored_Curve</vt:lpstr>
      <vt:lpstr>KL100_Curve</vt:lpstr>
      <vt:lpstr>WSL105_Curve</vt:lpstr>
      <vt:lpstr>GD_Curve</vt:lpstr>
      <vt:lpstr>EL600_Curve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Todor Chankov (ACS)</dc:creator>
  <cp:lastModifiedBy>Todor Chankov (ACS)</cp:lastModifiedBy>
  <dcterms:created xsi:type="dcterms:W3CDTF">2026-01-06T08:30:14Z</dcterms:created>
  <dcterms:modified xsi:type="dcterms:W3CDTF">2026-01-06T08:32:46Z</dcterms:modified>
</cp:coreProperties>
</file>