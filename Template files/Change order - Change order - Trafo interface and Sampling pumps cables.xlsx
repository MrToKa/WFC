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9190E3F-3842-4781-9067-8D6251ACB15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hange Order" sheetId="1" r:id="rId1"/>
  </sheets>
  <definedNames>
    <definedName name="_xlnm.Print_Area" localSheetId="0">'Change Order'!$A1:$AD8</definedName>
    <definedName name="_xlnm.Print_Titles" localSheetId="0">'Change Order'!$5:$5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C8" i="1"/>
  <c r="S8" i="1" s="1"/>
  <c r="C7" i="1"/>
  <c r="S7" i="1" s="1"/>
  <c r="C6" i="1"/>
  <c r="S6" i="1" s="1"/>
  <c r="S9" i="1" l="1"/>
  <c r="D7" i="1"/>
  <c r="D8" i="1"/>
  <c r="D6" i="1"/>
</calcChain>
</file>

<file path=xl/sharedStrings.xml><?xml version="1.0" encoding="utf-8"?>
<sst xmlns="http://schemas.openxmlformats.org/spreadsheetml/2006/main" count="73" uniqueCount="63">
  <si>
    <t>Project Name:</t>
  </si>
  <si>
    <t>HPU Aalborg 2023</t>
  </si>
  <si>
    <t>Prepared by:</t>
  </si>
  <si>
    <t>Todor Chankov</t>
  </si>
  <si>
    <t>Client:</t>
  </si>
  <si>
    <t>Everllence</t>
  </si>
  <si>
    <t>Change order - Trafo interface and Sampling pumps cables</t>
  </si>
  <si>
    <t>Date:</t>
  </si>
  <si>
    <t>P230039 / H.7500062</t>
  </si>
  <si>
    <t>Revision:</t>
  </si>
  <si>
    <t>00</t>
  </si>
  <si>
    <t>Item No.</t>
  </si>
  <si>
    <t>Design Qty</t>
  </si>
  <si>
    <t>Order Qty</t>
  </si>
  <si>
    <t>Spare Qty</t>
  </si>
  <si>
    <t>Unit</t>
  </si>
  <si>
    <t xml:space="preserve">Packaging </t>
  </si>
  <si>
    <t>Packaging Qty</t>
  </si>
  <si>
    <t>Unit2</t>
  </si>
  <si>
    <t>Ordered Qty</t>
  </si>
  <si>
    <t>Unit3</t>
  </si>
  <si>
    <t>SAP number</t>
  </si>
  <si>
    <t>Description (EN)</t>
  </si>
  <si>
    <t>Description (DE)</t>
  </si>
  <si>
    <t>Dimension [mm]</t>
  </si>
  <si>
    <t>Material</t>
  </si>
  <si>
    <t>Weight [kg]</t>
  </si>
  <si>
    <t>Clear description of content of a set and type designation</t>
  </si>
  <si>
    <t>Price/pcs</t>
  </si>
  <si>
    <t>Total Price</t>
  </si>
  <si>
    <t>Country of origin</t>
  </si>
  <si>
    <t>HS Code</t>
  </si>
  <si>
    <t>Pos./TAG-No</t>
  </si>
  <si>
    <t>Drawing No.</t>
  </si>
  <si>
    <t>Shipping list</t>
  </si>
  <si>
    <t>Revision number</t>
  </si>
  <si>
    <t>Client Barcode</t>
  </si>
  <si>
    <t xml:space="preserve">Original Equipment Manufacturer </t>
  </si>
  <si>
    <t>Manufacturer Part No.</t>
  </si>
  <si>
    <t>ACS barcode</t>
  </si>
  <si>
    <t>Remarks</t>
  </si>
  <si>
    <t>meters</t>
  </si>
  <si>
    <t>Drum</t>
  </si>
  <si>
    <t>N2XH-Flex – RXQ – TXXI - 0.6/1 kV 2G2.5mm²</t>
  </si>
  <si>
    <t>10.7</t>
  </si>
  <si>
    <t>Conductor: Copper 
Insulation: XLPE
Sheath: Low Smoke Zero Halogen, black</t>
  </si>
  <si>
    <t>Low vlotage flexible cable suitable for indoor and outdoor installation. Self-extinguishing and ﬂame retardant. UV and oil resistant. CPR - B2ca-s1a,d1,a1</t>
  </si>
  <si>
    <t>Scancab</t>
  </si>
  <si>
    <t>31802002</t>
  </si>
  <si>
    <t>pcs</t>
  </si>
  <si>
    <t>Package</t>
  </si>
  <si>
    <t>2.5mm Single Cord End Terminal Crimp Bootlace Ferrule</t>
  </si>
  <si>
    <t>Collar: Polypropylene
Tube: Tin-plated Copper</t>
  </si>
  <si>
    <t>Copper tube or ferrule, tin-plated, with a molded color-coded insulating collar made from polypropylene.</t>
  </si>
  <si>
    <t>GPH</t>
  </si>
  <si>
    <t>8591120075457</t>
  </si>
  <si>
    <t>Heat-shrinkable tube - 28/8</t>
  </si>
  <si>
    <t>Material: Polyolefin (PEX)</t>
  </si>
  <si>
    <t>Heat-shrinkable tube with inner diameter before/after heat-shrink - 28/8 mm</t>
  </si>
  <si>
    <t>8591120166865</t>
  </si>
  <si>
    <t>TOTAL:</t>
  </si>
  <si>
    <t>Valid until:</t>
  </si>
  <si>
    <t>ACS/Everllence Project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</si>
</sst>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###"/>
    <numFmt numFmtId="166" formatCode="#,##0.00\ [$€-1]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sz val="11"/>
      <color rgb="FF1E1E1E"/>
      <name val="Segoe UI"/>
      <family val="2"/>
    </font>
    <font>
      <b/>
      <sz val="20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/>
    <xf numFmtId="49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right" vertical="center" wrapText="1"/>
    </xf>
    <xf numFmtId="0" fontId="1" fillId="2" borderId="0" xfId="0" applyFont="1" applyFill="1"/>
    <xf numFmtId="0" fontId="11" fillId="0" borderId="1" xfId="0" applyFont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left" vertical="center" wrapText="1"/>
    </xf>
    <xf numFmtId="165" fontId="11" fillId="0" borderId="1" xfId="0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12" fillId="3" borderId="2" xfId="0" applyNumberFormat="1" applyFont="1" applyFill="1" applyBorder="1" applyAlignment="1">
      <alignment horizontal="left" vertical="center" wrapText="1"/>
    </xf>
    <xf numFmtId="166" fontId="12" fillId="3" borderId="3" xfId="0" applyNumberFormat="1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"/>
  <sheetViews>
    <sheetView tabSelected="1" topLeftCell="Q1" zoomScale="70" zoomScaleNormal="70" workbookViewId="0">
      <pane ySplit="5" topLeftCell="A6" activePane="bottomLeft" state="frozen"/>
      <selection pane="bottomLeft" activeCell="AD8" sqref="AD8"/>
    </sheetView>
  </sheetViews>
  <sheetFormatPr defaultRowHeight="14.25" x14ac:dyDescent="0.45"/>
  <cols>
    <col min="1" max="1" width="10.06640625" bestFit="1" customWidth="1"/>
    <col min="2" max="2" width="12.19921875" style="1" bestFit="1" customWidth="1"/>
    <col min="3" max="3" width="11.19921875" style="1" bestFit="1" customWidth="1"/>
    <col min="4" max="4" width="11.33203125" style="1" bestFit="1" customWidth="1"/>
    <col min="5" max="5" width="6.796875" style="1" bestFit="1" customWidth="1"/>
    <col min="6" max="6" width="11.86328125" style="1" bestFit="1" customWidth="1"/>
    <col min="7" max="7" width="14.9296875" style="1" bestFit="1" customWidth="1"/>
    <col min="8" max="8" width="7.6640625" style="1" bestFit="1" customWidth="1"/>
    <col min="9" max="9" width="13.06640625" style="1" bestFit="1" customWidth="1"/>
    <col min="10" max="10" width="7.73046875" style="1" bestFit="1" customWidth="1"/>
    <col min="11" max="11" width="12.53125" style="2" bestFit="1" customWidth="1"/>
    <col min="12" max="12" width="47.19921875" bestFit="1" customWidth="1"/>
    <col min="13" max="13" width="17" hidden="1" customWidth="1"/>
    <col min="14" max="14" width="16.46484375" bestFit="1" customWidth="1"/>
    <col min="15" max="15" width="20.46484375" style="3" bestFit="1" customWidth="1"/>
    <col min="16" max="16" width="13.59765625" customWidth="1"/>
    <col min="17" max="17" width="55.73046875" customWidth="1"/>
    <col min="18" max="18" width="11.86328125" customWidth="1"/>
    <col min="19" max="19" width="13.1328125" customWidth="1"/>
    <col min="20" max="20" width="12.73046875" customWidth="1"/>
    <col min="21" max="21" width="11.3984375" hidden="1" customWidth="1"/>
    <col min="22" max="22" width="15" customWidth="1"/>
    <col min="23" max="23" width="22.1328125" customWidth="1"/>
    <col min="24" max="24" width="12" customWidth="1"/>
    <col min="25" max="25" width="12.59765625" customWidth="1"/>
    <col min="26" max="26" width="11.1328125" customWidth="1"/>
    <col min="27" max="27" width="15.265625" customWidth="1"/>
    <col min="28" max="28" width="22.265625" style="4" customWidth="1"/>
    <col min="29" max="29" width="13.86328125" customWidth="1"/>
    <col min="30" max="30" width="47.86328125" customWidth="1"/>
  </cols>
  <sheetData>
    <row r="1" spans="1:30" ht="33.75" customHeight="1" x14ac:dyDescent="0.45">
      <c r="A1" s="17" t="s">
        <v>0</v>
      </c>
      <c r="B1" s="18"/>
      <c r="C1" s="19"/>
      <c r="D1" s="20" t="s">
        <v>1</v>
      </c>
      <c r="E1" s="21"/>
      <c r="F1" s="21"/>
      <c r="G1" s="21"/>
      <c r="H1" s="21"/>
      <c r="I1" s="21"/>
      <c r="J1" s="22"/>
      <c r="K1" s="23" t="s">
        <v>1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5"/>
      <c r="AC1" s="5" t="s">
        <v>2</v>
      </c>
      <c r="AD1" s="6" t="s">
        <v>3</v>
      </c>
    </row>
    <row r="2" spans="1:30" ht="15.75" customHeight="1" x14ac:dyDescent="0.45">
      <c r="A2" s="20" t="s">
        <v>4</v>
      </c>
      <c r="B2" s="21"/>
      <c r="C2" s="22"/>
      <c r="D2" s="20" t="s">
        <v>5</v>
      </c>
      <c r="E2" s="21"/>
      <c r="F2" s="21"/>
      <c r="G2" s="21"/>
      <c r="H2" s="21"/>
      <c r="I2" s="21"/>
      <c r="J2" s="22"/>
      <c r="K2" s="26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  <c r="AC2" s="5" t="s">
        <v>7</v>
      </c>
      <c r="AD2" s="7">
        <v>46265</v>
      </c>
    </row>
    <row r="3" spans="1:30" ht="15.75" customHeight="1" x14ac:dyDescent="0.45">
      <c r="A3" s="37" t="s">
        <v>62</v>
      </c>
      <c r="B3" s="38"/>
      <c r="C3" s="39"/>
      <c r="D3" s="40" t="s">
        <v>8</v>
      </c>
      <c r="E3" s="41"/>
      <c r="F3" s="41"/>
      <c r="G3" s="41"/>
      <c r="H3" s="41"/>
      <c r="I3" s="41"/>
      <c r="J3" s="42"/>
      <c r="K3" s="29" t="s">
        <v>6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/>
      <c r="AC3" s="15" t="s">
        <v>61</v>
      </c>
      <c r="AD3" s="16">
        <f>AD2+28</f>
        <v>46293</v>
      </c>
    </row>
    <row r="4" spans="1:30" ht="15.75" customHeight="1" x14ac:dyDescent="0.45">
      <c r="A4" s="43"/>
      <c r="B4" s="44"/>
      <c r="C4" s="45"/>
      <c r="D4" s="46"/>
      <c r="E4" s="47"/>
      <c r="F4" s="47"/>
      <c r="G4" s="47"/>
      <c r="H4" s="47"/>
      <c r="I4" s="47"/>
      <c r="J4" s="48"/>
      <c r="K4" s="32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4"/>
      <c r="AC4" s="5" t="s">
        <v>9</v>
      </c>
      <c r="AD4" s="8" t="s">
        <v>10</v>
      </c>
    </row>
    <row r="5" spans="1:30" s="9" customFormat="1" ht="36" customHeight="1" x14ac:dyDescent="0.45">
      <c r="A5" s="49" t="s">
        <v>11</v>
      </c>
      <c r="B5" s="49" t="s">
        <v>12</v>
      </c>
      <c r="C5" s="49" t="s">
        <v>13</v>
      </c>
      <c r="D5" s="49" t="s">
        <v>14</v>
      </c>
      <c r="E5" s="50" t="s">
        <v>15</v>
      </c>
      <c r="F5" s="50" t="s">
        <v>16</v>
      </c>
      <c r="G5" s="50" t="s">
        <v>17</v>
      </c>
      <c r="H5" s="50" t="s">
        <v>18</v>
      </c>
      <c r="I5" s="50" t="s">
        <v>19</v>
      </c>
      <c r="J5" s="50" t="s">
        <v>20</v>
      </c>
      <c r="K5" s="51" t="s">
        <v>21</v>
      </c>
      <c r="L5" s="50" t="s">
        <v>22</v>
      </c>
      <c r="M5" s="50" t="s">
        <v>23</v>
      </c>
      <c r="N5" s="50" t="s">
        <v>24</v>
      </c>
      <c r="O5" s="50" t="s">
        <v>25</v>
      </c>
      <c r="P5" s="50" t="s">
        <v>26</v>
      </c>
      <c r="Q5" s="50" t="s">
        <v>27</v>
      </c>
      <c r="R5" s="49" t="s">
        <v>28</v>
      </c>
      <c r="S5" s="49" t="s">
        <v>29</v>
      </c>
      <c r="T5" s="49" t="s">
        <v>30</v>
      </c>
      <c r="U5" s="49" t="s">
        <v>31</v>
      </c>
      <c r="V5" s="49" t="s">
        <v>32</v>
      </c>
      <c r="W5" s="49" t="s">
        <v>33</v>
      </c>
      <c r="X5" s="52" t="s">
        <v>34</v>
      </c>
      <c r="Y5" s="52" t="s">
        <v>35</v>
      </c>
      <c r="Z5" s="52" t="s">
        <v>36</v>
      </c>
      <c r="AA5" s="52" t="s">
        <v>37</v>
      </c>
      <c r="AB5" s="50" t="s">
        <v>38</v>
      </c>
      <c r="AC5" s="50" t="s">
        <v>39</v>
      </c>
      <c r="AD5" s="50" t="s">
        <v>40</v>
      </c>
    </row>
    <row r="6" spans="1:30" ht="25.5" customHeight="1" x14ac:dyDescent="0.45">
      <c r="A6" s="10">
        <v>1</v>
      </c>
      <c r="B6" s="11">
        <v>130</v>
      </c>
      <c r="C6" s="11">
        <f>G6*I6</f>
        <v>143</v>
      </c>
      <c r="D6" s="11">
        <f>C6-B6</f>
        <v>13</v>
      </c>
      <c r="E6" s="10" t="s">
        <v>41</v>
      </c>
      <c r="F6" s="10" t="s">
        <v>42</v>
      </c>
      <c r="G6" s="11">
        <v>1</v>
      </c>
      <c r="H6" s="10" t="s">
        <v>41</v>
      </c>
      <c r="I6" s="11">
        <v>143</v>
      </c>
      <c r="J6" s="10" t="s">
        <v>42</v>
      </c>
      <c r="K6" s="10"/>
      <c r="L6" s="10" t="s">
        <v>43</v>
      </c>
      <c r="M6" s="10"/>
      <c r="N6" s="10" t="s">
        <v>44</v>
      </c>
      <c r="O6" s="10" t="s">
        <v>45</v>
      </c>
      <c r="P6" s="12">
        <v>0.16500000000000001</v>
      </c>
      <c r="Q6" s="10" t="s">
        <v>46</v>
      </c>
      <c r="R6" s="13">
        <v>0</v>
      </c>
      <c r="S6" s="13">
        <f>R6*C6</f>
        <v>0</v>
      </c>
      <c r="T6" s="10"/>
      <c r="U6" s="10"/>
      <c r="V6" s="10"/>
      <c r="W6" s="10"/>
      <c r="X6" s="10"/>
      <c r="Y6" s="10"/>
      <c r="Z6" s="10"/>
      <c r="AA6" s="10" t="s">
        <v>47</v>
      </c>
      <c r="AB6" s="10" t="s">
        <v>48</v>
      </c>
      <c r="AC6" s="10"/>
      <c r="AD6" s="10"/>
    </row>
    <row r="7" spans="1:30" ht="25.5" customHeight="1" x14ac:dyDescent="0.45">
      <c r="A7" s="10">
        <v>2</v>
      </c>
      <c r="B7" s="11">
        <v>52</v>
      </c>
      <c r="C7" s="11">
        <f>G7*I7</f>
        <v>100</v>
      </c>
      <c r="D7" s="11">
        <f>C7-B7</f>
        <v>48</v>
      </c>
      <c r="E7" s="10" t="s">
        <v>49</v>
      </c>
      <c r="F7" s="10" t="s">
        <v>50</v>
      </c>
      <c r="G7" s="11">
        <v>50</v>
      </c>
      <c r="H7" s="10" t="s">
        <v>49</v>
      </c>
      <c r="I7" s="11">
        <v>2</v>
      </c>
      <c r="J7" s="10" t="s">
        <v>50</v>
      </c>
      <c r="K7" s="10"/>
      <c r="L7" s="10" t="s">
        <v>51</v>
      </c>
      <c r="M7" s="10"/>
      <c r="N7" s="10"/>
      <c r="O7" s="10" t="s">
        <v>52</v>
      </c>
      <c r="P7" s="12"/>
      <c r="Q7" s="10" t="s">
        <v>53</v>
      </c>
      <c r="R7" s="13">
        <v>0</v>
      </c>
      <c r="S7" s="13">
        <f>R7*C7</f>
        <v>0</v>
      </c>
      <c r="T7" s="10"/>
      <c r="U7" s="10"/>
      <c r="V7" s="10"/>
      <c r="W7" s="10"/>
      <c r="X7" s="10"/>
      <c r="Y7" s="10"/>
      <c r="Z7" s="10"/>
      <c r="AA7" s="10" t="s">
        <v>54</v>
      </c>
      <c r="AB7" s="10" t="s">
        <v>55</v>
      </c>
      <c r="AC7" s="10"/>
      <c r="AD7" s="10"/>
    </row>
    <row r="8" spans="1:30" ht="25.5" customHeight="1" thickBot="1" x14ac:dyDescent="0.5">
      <c r="A8" s="10">
        <v>3</v>
      </c>
      <c r="B8" s="11">
        <v>3.899999999999999</v>
      </c>
      <c r="C8" s="11">
        <f>G8*I8</f>
        <v>4</v>
      </c>
      <c r="D8" s="11">
        <f>C8-B8</f>
        <v>0.10000000000000098</v>
      </c>
      <c r="E8" s="10" t="s">
        <v>41</v>
      </c>
      <c r="F8" s="10" t="s">
        <v>49</v>
      </c>
      <c r="G8" s="11">
        <v>1</v>
      </c>
      <c r="H8" s="10" t="s">
        <v>49</v>
      </c>
      <c r="I8" s="11">
        <v>4</v>
      </c>
      <c r="J8" s="10" t="s">
        <v>49</v>
      </c>
      <c r="K8" s="10"/>
      <c r="L8" s="10" t="s">
        <v>56</v>
      </c>
      <c r="M8" s="10"/>
      <c r="N8" s="10"/>
      <c r="O8" s="10" t="s">
        <v>57</v>
      </c>
      <c r="P8" s="12"/>
      <c r="Q8" s="10" t="s">
        <v>58</v>
      </c>
      <c r="R8" s="14">
        <v>0</v>
      </c>
      <c r="S8" s="14">
        <f>R8*C8</f>
        <v>0</v>
      </c>
      <c r="T8" s="10"/>
      <c r="U8" s="10"/>
      <c r="V8" s="10"/>
      <c r="W8" s="10"/>
      <c r="X8" s="10"/>
      <c r="Y8" s="10"/>
      <c r="Z8" s="10"/>
      <c r="AA8" s="10" t="s">
        <v>54</v>
      </c>
      <c r="AB8" s="10" t="s">
        <v>59</v>
      </c>
      <c r="AC8" s="10"/>
      <c r="AD8" s="10"/>
    </row>
    <row r="9" spans="1:30" ht="15.75" customHeight="1" thickBot="1" x14ac:dyDescent="0.5">
      <c r="R9" s="35" t="s">
        <v>60</v>
      </c>
      <c r="S9" s="36">
        <f>SUM(S6:S8)</f>
        <v>0</v>
      </c>
    </row>
  </sheetData>
  <autoFilter ref="A5:AD8" xr:uid="{00000000-0009-0000-0000-000000000000}"/>
  <mergeCells count="8">
    <mergeCell ref="A1:C1"/>
    <mergeCell ref="A2:C2"/>
    <mergeCell ref="D1:J1"/>
    <mergeCell ref="D2:J2"/>
    <mergeCell ref="A3:C4"/>
    <mergeCell ref="D3:J4"/>
    <mergeCell ref="K1:AB2"/>
    <mergeCell ref="K3:AB4"/>
  </mergeCells>
  <pageMargins left="0.25" right="0.25" top="0.75" bottom="0.75" header="0.3" footer="0.3"/>
  <pageSetup paperSize="8" scale="38" fitToHeight="0" orientation="landscape" useFirstPageNumber="1" horizontalDpi="4294967295" verticalDpi="4294967295" r:id="rId1"/>
  <headerFooter>
    <oddHeader>&amp;L&amp;G&amp;R&amp;Pof&amp;N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Change Order</vt:lpstr>
      <vt:lpstr>'Change Order'!Print_Area</vt:lpstr>
      <vt:lpstr>'Change Order'!Print_Titles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2026-06-12T13:51:01Z</cp:lastPrinted>
  <dcterms:created xsi:type="dcterms:W3CDTF">2022-12-08T08:34:07Z</dcterms:created>
  <dcterms:modified xsi:type="dcterms:W3CDTF">2026-08-31T14:39:29Z</dcterms:modified>
  <cp:category/>
  <cp:contentStatus/>
</cp:coreProperties>
</file>